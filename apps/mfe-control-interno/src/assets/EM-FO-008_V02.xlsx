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autoCompressPictures="0" defaultThemeVersion="124226"/>
  <mc:AlternateContent xmlns:mc="http://schemas.openxmlformats.org/markup-compatibility/2006">
    <mc:Choice Requires="x15">
      <x15ac:absPath xmlns:x15ac="http://schemas.microsoft.com/office/spreadsheetml/2010/11/ac" url="https://d.docs.live.net/660b2eab124891f7/Documentos/"/>
    </mc:Choice>
  </mc:AlternateContent>
  <xr:revisionPtr revIDLastSave="0" documentId="8_{84494F08-CA8D-44B7-8438-3D92563CBD3C}" xr6:coauthVersionLast="47" xr6:coauthVersionMax="47" xr10:uidLastSave="{00000000-0000-0000-0000-000000000000}"/>
  <bookViews>
    <workbookView xWindow="-110" yWindow="-110" windowWidth="19420" windowHeight="10300" tabRatio="730" firstSheet="1" activeTab="2" xr2:uid="{00000000-000D-0000-FFFF-FFFF00000000}"/>
  </bookViews>
  <sheets>
    <sheet name="Parámetros" sheetId="9" state="hidden" r:id="rId1"/>
    <sheet name="Priorización " sheetId="7" r:id="rId2"/>
    <sheet name="Instructivo" sheetId="10" r:id="rId3"/>
    <sheet name="Procesos A Auditar Vs Recursos" sheetId="4" state="hidden" r:id="rId4"/>
    <sheet name="Seguimiento Programa Anual" sheetId="5" state="hidden" r:id="rId5"/>
    <sheet name="Hoja1" sheetId="3" state="hidden" r:id="rId6"/>
  </sheets>
  <definedNames>
    <definedName name="_xlnm._FilterDatabase" localSheetId="1" hidden="1">'Priorización '!$A$8:$X$8</definedName>
    <definedName name="Ciclo_Rotación_Calif">Parámetros!$C$54:$C$58</definedName>
    <definedName name="Ciclo_Rotación_Def">Parámetros!$B$54:$B$58</definedName>
    <definedName name="Impacto_Obj_Est_Calif">Parámetros!$C$30:$C$34</definedName>
    <definedName name="Impacto_Obj_Est_Def">Parámetros!$B$30:$B$34</definedName>
    <definedName name="Impacto_Ppto_Calif">Parámetros!#REF!</definedName>
    <definedName name="Impacto_Ppto_Def">Parámetros!#REF!</definedName>
    <definedName name="Nivel_Criticidad">Parámetros!$E$46:$G$50</definedName>
    <definedName name="Nivel_Directivo_Calif">Parámetros!$C$22:$C$26</definedName>
    <definedName name="Nivel_Directivo_Def">Parámetros!$B$22:$B$26</definedName>
    <definedName name="Nivel_Directivo_Def_PQR">Parámetros!$D$22:$D$26</definedName>
    <definedName name="Result_Aud_Ant_Calif">Parámetros!$C$37:$C$41</definedName>
    <definedName name="Result_Aud_Ant_Def">Parámetros!$B$37:$B$41</definedName>
    <definedName name="Tiempo_Ult_Aud_Calif">Parámetros!$E$14:$E$18</definedName>
    <definedName name="Tiempo_Ult_Aud_Def">Parámetros!$B$14:$B$18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F3" i="10" l="1"/>
  <c r="F2" i="10"/>
  <c r="F1" i="10"/>
  <c r="Q10" i="7" l="1"/>
  <c r="Q11" i="7"/>
  <c r="Q12" i="7"/>
  <c r="Q13" i="7"/>
  <c r="Q14" i="7"/>
  <c r="Q15" i="7"/>
  <c r="Q16" i="7"/>
  <c r="Q17" i="7"/>
  <c r="Q18" i="7"/>
  <c r="Q19" i="7"/>
  <c r="Q20" i="7"/>
  <c r="Q21" i="7"/>
  <c r="Q22" i="7"/>
  <c r="Q23" i="7"/>
  <c r="Q24" i="7"/>
  <c r="Q25" i="7"/>
  <c r="Q26" i="7"/>
  <c r="Q27" i="7"/>
  <c r="Q28" i="7"/>
  <c r="Q29" i="7"/>
  <c r="Q30" i="7"/>
  <c r="Q31" i="7"/>
  <c r="Q32" i="7"/>
  <c r="Q33" i="7"/>
  <c r="Q34" i="7"/>
  <c r="Q35" i="7"/>
  <c r="Q36" i="7"/>
  <c r="Q37" i="7"/>
  <c r="Q38" i="7"/>
  <c r="O10" i="7"/>
  <c r="O11" i="7"/>
  <c r="O12" i="7"/>
  <c r="O13" i="7"/>
  <c r="O14" i="7"/>
  <c r="O15" i="7"/>
  <c r="O16" i="7"/>
  <c r="O17" i="7"/>
  <c r="O18" i="7"/>
  <c r="O19" i="7"/>
  <c r="O20" i="7"/>
  <c r="O21" i="7"/>
  <c r="O22" i="7"/>
  <c r="O23" i="7"/>
  <c r="O24" i="7"/>
  <c r="O25" i="7"/>
  <c r="O26" i="7"/>
  <c r="O27" i="7"/>
  <c r="O28" i="7"/>
  <c r="O29" i="7"/>
  <c r="O30" i="7"/>
  <c r="O31" i="7"/>
  <c r="O32" i="7"/>
  <c r="O33" i="7"/>
  <c r="O34" i="7"/>
  <c r="O35" i="7"/>
  <c r="O36" i="7"/>
  <c r="O37" i="7"/>
  <c r="O38" i="7"/>
  <c r="M10" i="7"/>
  <c r="M11" i="7"/>
  <c r="M12" i="7"/>
  <c r="M13" i="7"/>
  <c r="M14" i="7"/>
  <c r="M15" i="7"/>
  <c r="M16" i="7"/>
  <c r="M17" i="7"/>
  <c r="M18" i="7"/>
  <c r="M19" i="7"/>
  <c r="M20" i="7"/>
  <c r="M21" i="7"/>
  <c r="M22" i="7"/>
  <c r="M23" i="7"/>
  <c r="M24" i="7"/>
  <c r="M25" i="7"/>
  <c r="M26" i="7"/>
  <c r="M27" i="7"/>
  <c r="M28" i="7"/>
  <c r="M29" i="7"/>
  <c r="M30" i="7"/>
  <c r="M31" i="7"/>
  <c r="M32" i="7"/>
  <c r="M33" i="7"/>
  <c r="M34" i="7"/>
  <c r="M35" i="7"/>
  <c r="M36" i="7"/>
  <c r="M37" i="7"/>
  <c r="M38" i="7"/>
  <c r="K10" i="7"/>
  <c r="K11" i="7"/>
  <c r="K12" i="7"/>
  <c r="K13" i="7"/>
  <c r="K14" i="7"/>
  <c r="K15" i="7"/>
  <c r="K16" i="7"/>
  <c r="K17" i="7"/>
  <c r="K18" i="7"/>
  <c r="K19" i="7"/>
  <c r="K20" i="7"/>
  <c r="K21" i="7"/>
  <c r="K22" i="7"/>
  <c r="K23" i="7"/>
  <c r="K24" i="7"/>
  <c r="K25" i="7"/>
  <c r="K26" i="7"/>
  <c r="K27" i="7"/>
  <c r="K28" i="7"/>
  <c r="K29" i="7"/>
  <c r="K30" i="7"/>
  <c r="K31" i="7"/>
  <c r="K32" i="7"/>
  <c r="K33" i="7"/>
  <c r="K34" i="7"/>
  <c r="K35" i="7"/>
  <c r="K36" i="7"/>
  <c r="K37" i="7"/>
  <c r="K38" i="7"/>
  <c r="G16" i="7"/>
  <c r="I16" i="7" s="1"/>
  <c r="G17" i="7"/>
  <c r="I17" i="7" s="1"/>
  <c r="G18" i="7"/>
  <c r="I18" i="7" s="1"/>
  <c r="G19" i="7"/>
  <c r="I19" i="7" s="1"/>
  <c r="G20" i="7"/>
  <c r="I20" i="7" s="1"/>
  <c r="G21" i="7"/>
  <c r="I21" i="7" s="1"/>
  <c r="G22" i="7"/>
  <c r="I22" i="7" s="1"/>
  <c r="G23" i="7"/>
  <c r="I23" i="7" s="1"/>
  <c r="G24" i="7"/>
  <c r="I24" i="7" s="1"/>
  <c r="G25" i="7"/>
  <c r="I25" i="7" s="1"/>
  <c r="G26" i="7"/>
  <c r="I26" i="7" s="1"/>
  <c r="G27" i="7"/>
  <c r="I27" i="7" s="1"/>
  <c r="G28" i="7"/>
  <c r="I28" i="7" s="1"/>
  <c r="G29" i="7"/>
  <c r="I29" i="7" s="1"/>
  <c r="G30" i="7"/>
  <c r="I30" i="7" s="1"/>
  <c r="G31" i="7"/>
  <c r="I31" i="7" s="1"/>
  <c r="G32" i="7"/>
  <c r="I32" i="7" s="1"/>
  <c r="G33" i="7"/>
  <c r="I33" i="7" s="1"/>
  <c r="G34" i="7"/>
  <c r="I34" i="7" s="1"/>
  <c r="G35" i="7"/>
  <c r="I35" i="7" s="1"/>
  <c r="G36" i="7"/>
  <c r="I36" i="7" s="1"/>
  <c r="G37" i="7"/>
  <c r="I37" i="7" s="1"/>
  <c r="G38" i="7"/>
  <c r="I38" i="7" s="1"/>
  <c r="G10" i="7"/>
  <c r="I10" i="7" s="1"/>
  <c r="G11" i="7"/>
  <c r="I11" i="7" s="1"/>
  <c r="G12" i="7"/>
  <c r="I12" i="7" s="1"/>
  <c r="G13" i="7"/>
  <c r="I13" i="7" s="1"/>
  <c r="G14" i="7"/>
  <c r="I14" i="7" s="1"/>
  <c r="G15" i="7"/>
  <c r="I15" i="7" s="1"/>
  <c r="H26" i="7" l="1"/>
  <c r="H30" i="7"/>
  <c r="H25" i="7"/>
  <c r="H19" i="7"/>
  <c r="H18" i="7"/>
  <c r="H16" i="7"/>
  <c r="R11" i="7" l="1"/>
  <c r="R12" i="7"/>
  <c r="R26" i="7"/>
  <c r="R14" i="7"/>
  <c r="R18" i="7"/>
  <c r="R27" i="7"/>
  <c r="R30" i="7"/>
  <c r="R15" i="7"/>
  <c r="R13" i="7"/>
  <c r="R19" i="7"/>
  <c r="R25" i="7"/>
  <c r="R16" i="7"/>
  <c r="H27" i="7"/>
  <c r="H11" i="7"/>
  <c r="C15" i="9" l="1"/>
  <c r="C16" i="9"/>
  <c r="C17" i="9"/>
  <c r="C18" i="9"/>
  <c r="E47" i="9"/>
  <c r="E48" i="9"/>
  <c r="S16" i="7" s="1"/>
  <c r="T16" i="7" s="1"/>
  <c r="E49" i="9"/>
  <c r="G9" i="7"/>
  <c r="H9" i="7" s="1"/>
  <c r="K9" i="7"/>
  <c r="M9" i="7"/>
  <c r="O9" i="7"/>
  <c r="Q9" i="7"/>
  <c r="H10" i="7"/>
  <c r="R10" i="7"/>
  <c r="H31" i="7"/>
  <c r="R23" i="7"/>
  <c r="H23" i="7"/>
  <c r="R24" i="7"/>
  <c r="R17" i="7"/>
  <c r="R20" i="7"/>
  <c r="H20" i="7"/>
  <c r="H15" i="7"/>
  <c r="R22" i="7"/>
  <c r="S22" i="7" s="1"/>
  <c r="T22" i="7" s="1"/>
  <c r="H22" i="7"/>
  <c r="H14" i="7"/>
  <c r="R21" i="7"/>
  <c r="H21" i="7"/>
  <c r="H12" i="7"/>
  <c r="H13" i="7"/>
  <c r="H33" i="7"/>
  <c r="H34" i="7"/>
  <c r="H35" i="7"/>
  <c r="H39" i="7"/>
  <c r="I39" i="7"/>
  <c r="I9" i="7" l="1"/>
  <c r="V16" i="7"/>
  <c r="X16" i="7"/>
  <c r="U16" i="7"/>
  <c r="W16" i="7"/>
  <c r="S11" i="7"/>
  <c r="T11" i="7" s="1"/>
  <c r="S12" i="7"/>
  <c r="T12" i="7" s="1"/>
  <c r="S26" i="7"/>
  <c r="T26" i="7" s="1"/>
  <c r="S14" i="7"/>
  <c r="T14" i="7" s="1"/>
  <c r="S18" i="7"/>
  <c r="T18" i="7" s="1"/>
  <c r="S17" i="7"/>
  <c r="T17" i="7" s="1"/>
  <c r="S10" i="7"/>
  <c r="T10" i="7" s="1"/>
  <c r="W10" i="7" s="1"/>
  <c r="S27" i="7"/>
  <c r="T27" i="7" s="1"/>
  <c r="S20" i="7"/>
  <c r="T20" i="7" s="1"/>
  <c r="V20" i="7" s="1"/>
  <c r="S24" i="7"/>
  <c r="T24" i="7" s="1"/>
  <c r="S23" i="7"/>
  <c r="T23" i="7" s="1"/>
  <c r="S30" i="7"/>
  <c r="T30" i="7" s="1"/>
  <c r="S15" i="7"/>
  <c r="T15" i="7" s="1"/>
  <c r="S13" i="7"/>
  <c r="T13" i="7" s="1"/>
  <c r="S19" i="7"/>
  <c r="T19" i="7" s="1"/>
  <c r="S25" i="7"/>
  <c r="T25" i="7" s="1"/>
  <c r="S21" i="7"/>
  <c r="T21" i="7" s="1"/>
  <c r="W21" i="7" s="1"/>
  <c r="V22" i="7"/>
  <c r="X22" i="7"/>
  <c r="W22" i="7"/>
  <c r="U22" i="7"/>
  <c r="R32" i="7"/>
  <c r="S32" i="7" s="1"/>
  <c r="T32" i="7" s="1"/>
  <c r="H32" i="7"/>
  <c r="H29" i="7"/>
  <c r="R29" i="7"/>
  <c r="S29" i="7" s="1"/>
  <c r="T29" i="7" s="1"/>
  <c r="H28" i="7"/>
  <c r="H24" i="7"/>
  <c r="H17" i="7"/>
  <c r="H37" i="7"/>
  <c r="H38" i="7"/>
  <c r="R36" i="7"/>
  <c r="S36" i="7" s="1"/>
  <c r="T36" i="7" s="1"/>
  <c r="R37" i="7"/>
  <c r="S37" i="7" s="1"/>
  <c r="T37" i="7" s="1"/>
  <c r="R31" i="7"/>
  <c r="S31" i="7" s="1"/>
  <c r="T31" i="7" s="1"/>
  <c r="R38" i="7"/>
  <c r="S38" i="7" s="1"/>
  <c r="T38" i="7" s="1"/>
  <c r="R28" i="7"/>
  <c r="S28" i="7" s="1"/>
  <c r="T28" i="7" s="1"/>
  <c r="R9" i="7"/>
  <c r="S9" i="7" s="1"/>
  <c r="T9" i="7" s="1"/>
  <c r="U9" i="7" s="1"/>
  <c r="R33" i="7"/>
  <c r="S33" i="7" s="1"/>
  <c r="T33" i="7" s="1"/>
  <c r="H36" i="7"/>
  <c r="U20" i="7" l="1"/>
  <c r="X20" i="7"/>
  <c r="X21" i="7"/>
  <c r="V21" i="7"/>
  <c r="U21" i="7"/>
  <c r="X33" i="7"/>
  <c r="U33" i="7"/>
  <c r="W33" i="7"/>
  <c r="V33" i="7"/>
  <c r="U27" i="7"/>
  <c r="W27" i="7"/>
  <c r="V27" i="7"/>
  <c r="X27" i="7"/>
  <c r="W20" i="7"/>
  <c r="W17" i="7"/>
  <c r="V17" i="7"/>
  <c r="X17" i="7"/>
  <c r="U17" i="7"/>
  <c r="U29" i="7"/>
  <c r="W29" i="7"/>
  <c r="V29" i="7"/>
  <c r="X29" i="7"/>
  <c r="W18" i="7"/>
  <c r="V18" i="7"/>
  <c r="X18" i="7"/>
  <c r="U18" i="7"/>
  <c r="X14" i="7"/>
  <c r="U14" i="7"/>
  <c r="W14" i="7"/>
  <c r="V14" i="7"/>
  <c r="U24" i="7"/>
  <c r="W24" i="7"/>
  <c r="V24" i="7"/>
  <c r="X24" i="7"/>
  <c r="U26" i="7"/>
  <c r="W26" i="7"/>
  <c r="V26" i="7"/>
  <c r="X26" i="7"/>
  <c r="U30" i="7"/>
  <c r="W30" i="7"/>
  <c r="V30" i="7"/>
  <c r="X30" i="7"/>
  <c r="W38" i="7"/>
  <c r="V38" i="7"/>
  <c r="X38" i="7"/>
  <c r="U38" i="7"/>
  <c r="U32" i="7"/>
  <c r="W32" i="7"/>
  <c r="V32" i="7"/>
  <c r="X32" i="7"/>
  <c r="X12" i="7"/>
  <c r="V12" i="7"/>
  <c r="W12" i="7"/>
  <c r="U12" i="7"/>
  <c r="U10" i="7"/>
  <c r="X11" i="7"/>
  <c r="U11" i="7"/>
  <c r="V11" i="7"/>
  <c r="W11" i="7"/>
  <c r="V36" i="7"/>
  <c r="X36" i="7"/>
  <c r="U36" i="7"/>
  <c r="W36" i="7"/>
  <c r="X10" i="7"/>
  <c r="U25" i="7"/>
  <c r="W25" i="7"/>
  <c r="V25" i="7"/>
  <c r="X25" i="7"/>
  <c r="U31" i="7"/>
  <c r="W31" i="7"/>
  <c r="V31" i="7"/>
  <c r="X31" i="7"/>
  <c r="V10" i="7"/>
  <c r="X19" i="7"/>
  <c r="W19" i="7"/>
  <c r="V19" i="7"/>
  <c r="U19" i="7"/>
  <c r="U28" i="7"/>
  <c r="W28" i="7"/>
  <c r="V28" i="7"/>
  <c r="X28" i="7"/>
  <c r="W37" i="7"/>
  <c r="V37" i="7"/>
  <c r="X37" i="7"/>
  <c r="U37" i="7"/>
  <c r="X13" i="7"/>
  <c r="U13" i="7"/>
  <c r="W13" i="7"/>
  <c r="V13" i="7"/>
  <c r="U23" i="7"/>
  <c r="W23" i="7"/>
  <c r="V23" i="7"/>
  <c r="X23" i="7"/>
  <c r="V15" i="7"/>
  <c r="X15" i="7"/>
  <c r="U15" i="7"/>
  <c r="W15" i="7"/>
  <c r="X9" i="7"/>
  <c r="W9" i="7"/>
  <c r="V9" i="7"/>
  <c r="R35" i="7"/>
  <c r="S35" i="7" s="1"/>
  <c r="T35" i="7" s="1"/>
  <c r="R34" i="7"/>
  <c r="S34" i="7" s="1"/>
  <c r="T34" i="7" s="1"/>
  <c r="V35" i="7" l="1"/>
  <c r="X35" i="7"/>
  <c r="U35" i="7"/>
  <c r="W35" i="7"/>
  <c r="X34" i="7"/>
  <c r="U34" i="7"/>
  <c r="W34" i="7"/>
  <c r="V34" i="7"/>
  <c r="E15" i="5"/>
  <c r="E17" i="5" s="1"/>
  <c r="E14" i="4"/>
  <c r="D3" i="3"/>
  <c r="D4" i="3"/>
  <c r="D5" i="3"/>
  <c r="D6" i="3"/>
  <c r="D7" i="3"/>
  <c r="D8" i="3"/>
  <c r="D9" i="3"/>
  <c r="D10" i="3"/>
  <c r="D11" i="3"/>
  <c r="D12"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DORLEY ENRIQUE LEON LOPEZ</author>
  </authors>
  <commentList>
    <comment ref="C3" authorId="0" shapeId="0" xr:uid="{00000000-0006-0000-0000-000001000000}">
      <text>
        <r>
          <rPr>
            <sz val="9"/>
            <color indexed="81"/>
            <rFont val="Tahoma"/>
            <family val="2"/>
          </rPr>
          <t>Diligenciar esta casilla con el presupuesto de gastos de la entidad.</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YAMILE LARA</author>
  </authors>
  <commentList>
    <comment ref="B23" authorId="0" shapeId="0" xr:uid="{00000000-0006-0000-0100-000001000000}">
      <text>
        <r>
          <rPr>
            <sz val="9"/>
            <color indexed="81"/>
            <rFont val="Tahoma"/>
            <family val="2"/>
          </rPr>
          <t xml:space="preserve">S e realiza informe de ley E-kogui
</t>
        </r>
      </text>
    </comment>
  </commentList>
</comments>
</file>

<file path=xl/sharedStrings.xml><?xml version="1.0" encoding="utf-8"?>
<sst xmlns="http://schemas.openxmlformats.org/spreadsheetml/2006/main" count="374" uniqueCount="165">
  <si>
    <t>Alto</t>
  </si>
  <si>
    <t>Moderado</t>
  </si>
  <si>
    <t>Muy Bajo</t>
  </si>
  <si>
    <t>Total</t>
  </si>
  <si>
    <t>No</t>
  </si>
  <si>
    <t>1 año</t>
  </si>
  <si>
    <t>4 años</t>
  </si>
  <si>
    <t>2 años</t>
  </si>
  <si>
    <t>3 años</t>
  </si>
  <si>
    <t>5 años</t>
  </si>
  <si>
    <t>Objetivo del Documento:</t>
  </si>
  <si>
    <t>Extremo</t>
  </si>
  <si>
    <t>Bajo</t>
  </si>
  <si>
    <t>Adecuado</t>
  </si>
  <si>
    <t>Inadecuado</t>
  </si>
  <si>
    <t>DETERMINACION PLAN DE AUDITORIA vs RECURSOS</t>
  </si>
  <si>
    <t xml:space="preserve">Fecha de Elaboración: </t>
  </si>
  <si>
    <t>Nombre del Subproceso A Auditar de Acuerdo a la Evaluación del Universo</t>
  </si>
  <si>
    <t>Detalle del Alcance del Trabajo</t>
  </si>
  <si>
    <t>Tiempo Estimado de la Auditoria (hh).</t>
  </si>
  <si>
    <t>Incluido en el Plan Anual</t>
  </si>
  <si>
    <t xml:space="preserve">Fecha de Inicio </t>
  </si>
  <si>
    <t xml:space="preserve">Fecha de Finalización </t>
  </si>
  <si>
    <t>AVANCES</t>
  </si>
  <si>
    <t>Estado</t>
  </si>
  <si>
    <t>Ene</t>
  </si>
  <si>
    <t>Feb</t>
  </si>
  <si>
    <t>Mar</t>
  </si>
  <si>
    <t>Abr</t>
  </si>
  <si>
    <t>May</t>
  </si>
  <si>
    <t>Jun</t>
  </si>
  <si>
    <t>Jul</t>
  </si>
  <si>
    <t>Ago</t>
  </si>
  <si>
    <t>Sep</t>
  </si>
  <si>
    <t>Oct</t>
  </si>
  <si>
    <t>Nov</t>
  </si>
  <si>
    <t>Dic</t>
  </si>
  <si>
    <t>Gestión Humana</t>
  </si>
  <si>
    <t>Si</t>
  </si>
  <si>
    <t>TOTAL HORAS NECESARIAS</t>
  </si>
  <si>
    <t xml:space="preserve">TOTAL HORAS DISPONIBLES EQUIPO DE AUDITORES </t>
  </si>
  <si>
    <t>DIFERENCIA (TIEMPO ADECUADO / TIEMPO INSUFICIENTE)</t>
  </si>
  <si>
    <t>Tipo de Trabajo</t>
  </si>
  <si>
    <t>Aseguramiento</t>
  </si>
  <si>
    <t>Sin Iniciar</t>
  </si>
  <si>
    <t>Nombre del proceso/proyecto/Procedimiento A Auditar de Acuerdo a la Evaluación del Universo</t>
  </si>
  <si>
    <t xml:space="preserve">Observaciones Generales: </t>
  </si>
  <si>
    <t>Fuente: Adaptado de Instituto de Auditores Internos. COSO ERM. Agosto 2014.</t>
  </si>
  <si>
    <t>SEGUIMIENTO PROGRAMA ANUAL DE AUDITORIA</t>
  </si>
  <si>
    <t>,</t>
  </si>
  <si>
    <t>No tiene objetivo asociado</t>
  </si>
  <si>
    <t>&gt; 3 años &lt;= 4 años</t>
  </si>
  <si>
    <t>&lt;= 1 año</t>
  </si>
  <si>
    <t>&gt; 4 años</t>
  </si>
  <si>
    <t>&gt; 1 año &lt;= 2 años</t>
  </si>
  <si>
    <t>2 objetivos estratégicos asociados</t>
  </si>
  <si>
    <t>3 objetivos estratégicos asociados</t>
  </si>
  <si>
    <t>1 objetivo estratégico asociado</t>
  </si>
  <si>
    <t>4 o más objetivos estratégicos asociados</t>
  </si>
  <si>
    <t>&gt; 2 años &lt;= 3 años</t>
  </si>
  <si>
    <t>Priorización de Auditorías Basadas en Riesgos año 4</t>
  </si>
  <si>
    <t>Priorización de Auditorías Basadas en Riesgos año 3</t>
  </si>
  <si>
    <t>Priorización de Auditorías Basadas en Riesgos año 2</t>
  </si>
  <si>
    <t>Priorización de Auditorías Basadas en Riesgos año 1</t>
  </si>
  <si>
    <t>Ciclo de Rotación auditorías</t>
  </si>
  <si>
    <t>Nivel de criticidad</t>
  </si>
  <si>
    <t>Ponderación</t>
  </si>
  <si>
    <t>Resultados auditorías anteriores internas y externas  (Calificación)</t>
  </si>
  <si>
    <t>Cantidad de objetivos estratégicos asociados (Calificación)</t>
  </si>
  <si>
    <t>Cantidad de objetivos estratégicos asociados (Criterios)</t>
  </si>
  <si>
    <t>Temas de interés de la Alta Dirección - Calificación</t>
  </si>
  <si>
    <t>Temas de interés de la Alta Dirección (Criterios)</t>
  </si>
  <si>
    <t>Tiempo transcurrido desde última auditoría (Calificación)</t>
  </si>
  <si>
    <t>Tiempo transcurrido desde última auditoría (Criterio)</t>
  </si>
  <si>
    <t xml:space="preserve">RIESGO INHERENTE
</t>
  </si>
  <si>
    <t>ASPECTOS EVALUABLES
UNIDADES AUDITABLES
(Proceso/Territoriales)</t>
  </si>
  <si>
    <t>FECHA DE APROBACIÓN</t>
  </si>
  <si>
    <t xml:space="preserve">FECHA DE ELABORACIÓN: </t>
  </si>
  <si>
    <t>Tiene un riesgo en calificación Extrema</t>
  </si>
  <si>
    <t>Tiene un riesgo o más en calificación Alta</t>
  </si>
  <si>
    <t>Tiene un riesgo o más en Calificación Moderada</t>
  </si>
  <si>
    <t>Los  riesgos estan en zona baja (zona de aceptacion)</t>
  </si>
  <si>
    <t>No tiene Riesgos Asociado</t>
  </si>
  <si>
    <t>Nivel riesgo inherente</t>
  </si>
  <si>
    <t>&gt;= 4</t>
  </si>
  <si>
    <t>Cada año</t>
  </si>
  <si>
    <t>&gt;=3 &lt;4</t>
  </si>
  <si>
    <t>Cada 2 años</t>
  </si>
  <si>
    <t>&gt;=2 &lt;3</t>
  </si>
  <si>
    <t>Cada 3 años</t>
  </si>
  <si>
    <t>&gt;=1.5 &lt;2</t>
  </si>
  <si>
    <t>Cada 4 años</t>
  </si>
  <si>
    <t>Bajo (Priorizado)</t>
  </si>
  <si>
    <t>&lt; 1.5</t>
  </si>
  <si>
    <t>No auditar</t>
  </si>
  <si>
    <t>Ciclo de rotación</t>
  </si>
  <si>
    <t>Rojo</t>
  </si>
  <si>
    <t>Naranja</t>
  </si>
  <si>
    <t>Amarillo</t>
  </si>
  <si>
    <t>Verde</t>
  </si>
  <si>
    <t>Total presupuesto egresos entidad aprobado para la vigencia</t>
  </si>
  <si>
    <t>Resultados auditorías anteriores</t>
  </si>
  <si>
    <t>Objetivos estratégicos asociados</t>
  </si>
  <si>
    <t>Temas de seguimiento alta direccion  con el  mayor valor de repeticion en un periodo de seis meses ( 8 o mas seguimientos en diferentes comites)</t>
  </si>
  <si>
    <t>Con denuncia (s)</t>
  </si>
  <si>
    <t>Temas de seguimiento alta direccion con el segundo mayor valor de repeticion en un periodo de seis meses( entre 6 y 7 seguimientos en diferentes comites)</t>
  </si>
  <si>
    <t>Con peticiones extemporaneas</t>
  </si>
  <si>
    <t>Temas de seguimiento alta direccion con ante peúltimo valor de repeticion en un periodo de seis meses ( entre 4 y 5 seguimientos en diferentes comites)</t>
  </si>
  <si>
    <t>Con Reclamo (s)</t>
  </si>
  <si>
    <t>Temas de seguimiento alta direccion con penúltimo valor de repeticion en un periodo de seis meses( entre 2 y 3 seguimientos en diferentes comites)</t>
  </si>
  <si>
    <t>Con peticiones en terminos</t>
  </si>
  <si>
    <t>Temas de seguimiento alta direccion con menor repeticion en un periodo de seis meses ( menos de 2 seguimientos en diferentes comites)</t>
  </si>
  <si>
    <t>Sin PQR</t>
  </si>
  <si>
    <t>CANTIDAD PQR</t>
  </si>
  <si>
    <t>Nivel_Directivo</t>
  </si>
  <si>
    <t>Tiempo transcurrido desde última auditoría</t>
  </si>
  <si>
    <t>Puntajes</t>
  </si>
  <si>
    <t>Sin hallazgos</t>
  </si>
  <si>
    <t>1 a 2 hallazgos</t>
  </si>
  <si>
    <t>3 a 4 hallazgos</t>
  </si>
  <si>
    <t>5 a 6 hallazgos</t>
  </si>
  <si>
    <t>7 o más hallazgos</t>
  </si>
  <si>
    <t>Resultados auditorías anteriores internas anteriores (Criterios)</t>
  </si>
  <si>
    <t>Interés poco relevante</t>
  </si>
  <si>
    <t>Interés bajo</t>
  </si>
  <si>
    <t>Interés medio</t>
  </si>
  <si>
    <t>Interés alto</t>
  </si>
  <si>
    <t>Interés muy relevante</t>
  </si>
  <si>
    <t>Presupuesto de Funcionamiento 2022</t>
  </si>
  <si>
    <t>CÓDIGO</t>
  </si>
  <si>
    <t>VERSIÓN</t>
  </si>
  <si>
    <t>FECHA</t>
  </si>
  <si>
    <t>CONCEPTO</t>
  </si>
  <si>
    <t>DESCRIPCIÓN</t>
  </si>
  <si>
    <t>Describa la tarea que se propone realizar para eliminar las causas del hallazgo,ejemplo capacitaciones. Campo que debe ser diligenciado por el auditado.</t>
  </si>
  <si>
    <t>Tambien son conocidos como unidades auditables, son todos aquellos aspectos que pueden ser evaluados o auditados y que se convertirán en un informe de auditoría.</t>
  </si>
  <si>
    <t>Digite la cantidad de riesgos por nivel que tiene cada aspecto evaluable.</t>
  </si>
  <si>
    <t>Riesgo inherente</t>
  </si>
  <si>
    <t>Aspectos evaluables unidades auditables (proceso/territoriales)</t>
  </si>
  <si>
    <t>No se debe diligenciar esta columna, aparecerá automáticamente el puntaje consolidado del total del riesgos que afecta cada aspecto evaluable resultado de la cantidad de riesgos por nivel (extremo, alto, moderado, bajo) .</t>
  </si>
  <si>
    <t>No se debe diligenciar esta columna, aparecerá automáticamente el nivel de riesgo poderado o consolidado para cada aspecto evaluable (unidad auditable).</t>
  </si>
  <si>
    <t>RIESGO INHERENTE Ponderación de Riesgos del Proceso
Cualitativo</t>
  </si>
  <si>
    <t>RIESGO INHERENTE Ponderación de Riesgos del Proceso
Cuantitativo</t>
  </si>
  <si>
    <t>RIESGO INHERENTE Ponderación de Riesgos del Proceso Cualitativo</t>
  </si>
  <si>
    <t>RIESGO INHERENTE Ponderación de Riesgos del Proceso Cuantitativo</t>
  </si>
  <si>
    <t>No se debe diligenciar esta columna, aparecerá automáticamente la calificación que obtiene el nivel de riesgo inherente consolidado o poderado.</t>
  </si>
  <si>
    <t>Seleccione de la lista desplegable los años transcurridos desde la última auditoría o en aso que nunca se haya auditado seleccione &gt; 4 años.</t>
  </si>
  <si>
    <t>No se debe diligenciar esta columna, aparecerá automáticamente la calificación respecto de los intereses de la alta dirección</t>
  </si>
  <si>
    <t>Seleccionar la opción que corresponda a la insidencia de este aspecto evaluable o temática en los objetivos estratégicos.</t>
  </si>
  <si>
    <t>Seleccionar la cantidad de hallazgos producto de las auditorias internas y externas.</t>
  </si>
  <si>
    <t>No se debe diligenciar esta columna, aparecerá automáticamente al diligenciar la columna anterior "Cantidad de objetivos estratégicos asociados (Criterios)".</t>
  </si>
  <si>
    <t>No se debe diligenciar esta columna, aparecerá automáticamente al diligenciar la columna anterior "Resultados auditorías anteriores internas anteriores (Criterios)".</t>
  </si>
  <si>
    <t>No se debe diligenciar esta columna, acá aparecerá automáticamente el puntaje consolidado para el nivel de criticidad de cada aspecto evaluable.</t>
  </si>
  <si>
    <t>No se debe diligenciar esta columna, la calificación se genera automáticamente al diligenciar las columnas editables, acá aparecerá el nivel de criticidad semaforizado de cada aspecto evaluable.</t>
  </si>
  <si>
    <t>No se debe diligenciar esta columna, acá aparecerá automáticamente el ciclo de rotación  de las auditorías con base en el nivel de criticidad de cada aspecto evaluable.</t>
  </si>
  <si>
    <t>No se debe diligenciar esta columna, acá aparecerá automáticamente las unidades auditables que deben formar parte del plan anual de auditorías del primer año, acorde con el ciclo de rotación de auditorías, el cual es aprobado por el Comité Institucional de Coordinación de Control Interno.</t>
  </si>
  <si>
    <t>No se debe diligenciar esta columna, acá aparecerá automáticamente las unidades auditables que deben formar parte del plan anual de auditorías del segundo año, acorde con el ciclo de rotación de auditorías, el cual es aprobado por el Comité Institucional de Coordinación de Control Interno.</t>
  </si>
  <si>
    <t>No se debe diligenciar esta columna, acá aparecerá automáticamente las unidades auditables que deben formar parte del plan anual de auditorías del tercer año, acorde con el ciclo de rotación de auditorías, el cual es aprobado por el Comité Institucional de Coordinación de Control Interno.</t>
  </si>
  <si>
    <t>No se debe diligenciar esta columna, acá aparecerá automáticamente las unidades auditables que deben formar parte del plan anual de auditorías del cuarto año, acorde con el ciclo de rotación de auditorías, el cual es aprobado por el Comité Institucional de Coordinación de Control Interno.</t>
  </si>
  <si>
    <t>UNIVERSO DE AUDITORÍA BASADA EN RIESGOS
(instrucciones para su diligenciamiento)</t>
  </si>
  <si>
    <t>Proceso: Evaluación Control y Mejora</t>
  </si>
  <si>
    <t>Documento de referencia: Procedimiento Auditorías internas basadas en riesgos EM-PT-004</t>
  </si>
  <si>
    <t>EM-FO-008</t>
  </si>
  <si>
    <t>FORMATO
UNIVERSO DE AUDITORÍA BASADA EN RIESGOS OCI</t>
  </si>
  <si>
    <t>02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</si>
</sst>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_(* #,##0.00_);_(* \(#,##0.00\);_(* &quot;-&quot;??_);_(@_)"/>
    <numFmt numFmtId="165" formatCode="0.0"/>
    <numFmt numFmtId="166" formatCode="0.00\ &quot;años&quot;"/>
    <numFmt numFmtId="167" formatCode="&quot;$&quot;#,##0.00"/>
    <numFmt numFmtId="168" formatCode="dd/mm/yyyy;@"/>
    <numFmt numFmtId="169" formatCode="dd/mm/yy;@"/>
  </numFmts>
  <fonts count="28" x14ac:knownFonts="1">
    <font>
      <sz val="11"/>
      <color theme="1"/>
      <name val="Calibri"/>
      <family val="2"/>
      <scheme val="minor"/>
    </font>
    <font>
      <b/>
      <sz val="11"/>
      <color theme="1"/>
      <name val="Calibri"/>
      <family val="2"/>
      <scheme val="minor"/>
    </font>
    <font>
      <sz val="10"/>
      <color theme="1"/>
      <name val="Arial"/>
      <family val="2"/>
    </font>
    <font>
      <b/>
      <sz val="10"/>
      <color theme="1"/>
      <name val="Arial"/>
      <family val="2"/>
    </font>
    <font>
      <sz val="10"/>
      <name val="Arial"/>
      <family val="2"/>
    </font>
    <font>
      <sz val="10"/>
      <color indexed="9"/>
      <name val="Arial"/>
      <family val="2"/>
    </font>
    <font>
      <sz val="11"/>
      <color theme="1"/>
      <name val="Calibri"/>
      <family val="2"/>
      <scheme val="minor"/>
    </font>
    <font>
      <sz val="9"/>
      <color theme="1"/>
      <name val="Arial"/>
      <family val="2"/>
    </font>
    <font>
      <b/>
      <sz val="11"/>
      <color theme="1"/>
      <name val="Arial"/>
      <family val="2"/>
    </font>
    <font>
      <b/>
      <sz val="11"/>
      <name val="Calibri"/>
      <family val="2"/>
    </font>
    <font>
      <b/>
      <sz val="12"/>
      <color theme="1"/>
      <name val="Calibri"/>
      <family val="2"/>
      <scheme val="minor"/>
    </font>
    <font>
      <sz val="12"/>
      <color theme="1"/>
      <name val="Arial"/>
      <family val="2"/>
    </font>
    <font>
      <sz val="8"/>
      <color theme="1"/>
      <name val="Arial"/>
      <family val="2"/>
    </font>
    <font>
      <b/>
      <sz val="11"/>
      <name val="Calibri"/>
      <family val="2"/>
      <scheme val="minor"/>
    </font>
    <font>
      <sz val="11"/>
      <color theme="1"/>
      <name val="Arial"/>
      <family val="2"/>
    </font>
    <font>
      <b/>
      <sz val="10"/>
      <name val="Arial"/>
      <family val="2"/>
    </font>
    <font>
      <sz val="16"/>
      <name val="Arial Black"/>
      <family val="2"/>
    </font>
    <font>
      <sz val="9"/>
      <color indexed="81"/>
      <name val="Tahoma"/>
      <family val="2"/>
    </font>
    <font>
      <sz val="16"/>
      <name val="Arial Black"/>
      <family val="2"/>
    </font>
    <font>
      <sz val="11"/>
      <color theme="0"/>
      <name val="Calibri"/>
      <family val="2"/>
      <scheme val="minor"/>
    </font>
    <font>
      <b/>
      <sz val="9"/>
      <color theme="1"/>
      <name val="Arial"/>
      <family val="2"/>
    </font>
    <font>
      <b/>
      <sz val="12"/>
      <color theme="1"/>
      <name val="Arial"/>
      <family val="2"/>
    </font>
    <font>
      <b/>
      <sz val="9"/>
      <color indexed="9"/>
      <name val="Verdana"/>
      <family val="2"/>
    </font>
    <font>
      <b/>
      <sz val="10"/>
      <color indexed="9"/>
      <name val="Verdana"/>
      <family val="2"/>
    </font>
    <font>
      <sz val="12"/>
      <name val="Arial"/>
      <family val="2"/>
    </font>
    <font>
      <b/>
      <sz val="12"/>
      <name val="Arial"/>
      <family val="2"/>
    </font>
    <font>
      <b/>
      <sz val="11"/>
      <name val="Arial"/>
      <family val="2"/>
    </font>
    <font>
      <sz val="11"/>
      <name val="Arial"/>
      <family val="2"/>
    </font>
  </fonts>
  <fills count="16">
    <fill>
      <patternFill patternType="none"/>
    </fill>
    <fill>
      <patternFill patternType="gray125"/>
    </fill>
    <fill>
      <patternFill patternType="solid">
        <fgColor indexed="9"/>
        <bgColor indexed="64"/>
      </patternFill>
    </fill>
    <fill>
      <patternFill patternType="solid">
        <fgColor theme="0"/>
        <bgColor indexed="64"/>
      </patternFill>
    </fill>
    <fill>
      <patternFill patternType="solid">
        <fgColor rgb="FFFF0000"/>
        <bgColor indexed="64"/>
      </patternFill>
    </fill>
    <fill>
      <patternFill patternType="solid">
        <fgColor rgb="FFFFFF00"/>
        <bgColor indexed="64"/>
      </patternFill>
    </fill>
    <fill>
      <patternFill patternType="solid">
        <fgColor rgb="FF92D050"/>
        <bgColor indexed="64"/>
      </patternFill>
    </fill>
    <fill>
      <patternFill patternType="solid">
        <fgColor rgb="FFFFC000"/>
        <bgColor indexed="64"/>
      </patternFill>
    </fill>
    <fill>
      <patternFill patternType="solid">
        <fgColor rgb="FFF7C767"/>
        <bgColor indexed="64"/>
      </patternFill>
    </fill>
    <fill>
      <patternFill patternType="solid">
        <fgColor theme="0" tint="-0.14999847407452621"/>
        <bgColor indexed="64"/>
      </patternFill>
    </fill>
    <fill>
      <patternFill patternType="solid">
        <fgColor rgb="FFFFFF99"/>
        <bgColor indexed="64"/>
      </patternFill>
    </fill>
    <fill>
      <patternFill patternType="solid">
        <fgColor theme="4" tint="0.59999389629810485"/>
        <bgColor indexed="64"/>
      </patternFill>
    </fill>
    <fill>
      <patternFill patternType="solid">
        <fgColor rgb="FF00FF00"/>
        <bgColor indexed="64"/>
      </patternFill>
    </fill>
    <fill>
      <patternFill patternType="solid">
        <fgColor theme="5"/>
        <bgColor indexed="64"/>
      </patternFill>
    </fill>
    <fill>
      <patternFill patternType="solid">
        <fgColor rgb="FF00B050"/>
        <bgColor indexed="64"/>
      </patternFill>
    </fill>
    <fill>
      <patternFill patternType="solid">
        <fgColor theme="5" tint="0.39997558519241921"/>
        <bgColor indexed="64"/>
      </patternFill>
    </fill>
  </fills>
  <borders count="51">
    <border>
      <left/>
      <right/>
      <top/>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auto="1"/>
      </left>
      <right style="medium">
        <color auto="1"/>
      </right>
      <top style="medium">
        <color auto="1"/>
      </top>
      <bottom style="medium">
        <color auto="1"/>
      </bottom>
      <diagonal/>
    </border>
    <border>
      <left style="medium">
        <color auto="1"/>
      </left>
      <right style="medium">
        <color auto="1"/>
      </right>
      <top style="medium">
        <color auto="1"/>
      </top>
      <bottom style="thin">
        <color auto="1"/>
      </bottom>
      <diagonal/>
    </border>
    <border>
      <left style="medium">
        <color auto="1"/>
      </left>
      <right style="medium">
        <color auto="1"/>
      </right>
      <top style="medium">
        <color auto="1"/>
      </top>
      <bottom/>
      <diagonal/>
    </border>
    <border>
      <left style="medium">
        <color auto="1"/>
      </left>
      <right style="medium">
        <color auto="1"/>
      </right>
      <top style="thin">
        <color auto="1"/>
      </top>
      <bottom style="medium">
        <color auto="1"/>
      </bottom>
      <diagonal/>
    </border>
    <border>
      <left/>
      <right/>
      <top/>
      <bottom style="medium">
        <color auto="1"/>
      </bottom>
      <diagonal/>
    </border>
    <border>
      <left/>
      <right style="medium">
        <color auto="1"/>
      </right>
      <top/>
      <bottom style="medium">
        <color auto="1"/>
      </bottom>
      <diagonal/>
    </border>
    <border>
      <left style="medium">
        <color auto="1"/>
      </left>
      <right style="medium">
        <color auto="1"/>
      </right>
      <top/>
      <bottom style="medium">
        <color auto="1"/>
      </bottom>
      <diagonal/>
    </border>
    <border>
      <left style="thin">
        <color auto="1"/>
      </left>
      <right/>
      <top style="medium">
        <color auto="1"/>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top/>
      <bottom style="medium">
        <color auto="1"/>
      </bottom>
      <diagonal/>
    </border>
    <border>
      <left style="medium">
        <color auto="1"/>
      </left>
      <right/>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medium">
        <color auto="1"/>
      </right>
      <top/>
      <bottom/>
      <diagonal/>
    </border>
    <border>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style="medium">
        <color auto="1"/>
      </right>
      <top style="thin">
        <color auto="1"/>
      </top>
      <bottom/>
      <diagonal/>
    </border>
    <border>
      <left style="medium">
        <color auto="1"/>
      </left>
      <right style="thin">
        <color auto="1"/>
      </right>
      <top style="medium">
        <color auto="1"/>
      </top>
      <bottom style="thin">
        <color auto="1"/>
      </bottom>
      <diagonal/>
    </border>
    <border>
      <left style="medium">
        <color auto="1"/>
      </left>
      <right style="thin">
        <color auto="1"/>
      </right>
      <top style="thin">
        <color auto="1"/>
      </top>
      <bottom style="thin">
        <color auto="1"/>
      </bottom>
      <diagonal/>
    </border>
    <border>
      <left style="medium">
        <color auto="1"/>
      </left>
      <right style="medium">
        <color auto="1"/>
      </right>
      <top/>
      <bottom style="thin">
        <color auto="1"/>
      </bottom>
      <diagonal/>
    </border>
    <border>
      <left style="medium">
        <color auto="1"/>
      </left>
      <right style="medium">
        <color auto="1"/>
      </right>
      <top style="thin">
        <color auto="1"/>
      </top>
      <bottom style="thin">
        <color auto="1"/>
      </bottom>
      <diagonal/>
    </border>
    <border>
      <left style="medium">
        <color auto="1"/>
      </left>
      <right style="medium">
        <color auto="1"/>
      </right>
      <top style="thin">
        <color auto="1"/>
      </top>
      <bottom/>
      <diagonal/>
    </border>
    <border>
      <left style="medium">
        <color auto="1"/>
      </left>
      <right style="thin">
        <color auto="1"/>
      </right>
      <top style="thin">
        <color auto="1"/>
      </top>
      <bottom/>
      <diagonal/>
    </border>
    <border>
      <left style="thin">
        <color auto="1"/>
      </left>
      <right style="thin">
        <color auto="1"/>
      </right>
      <top/>
      <bottom style="medium">
        <color auto="1"/>
      </bottom>
      <diagonal/>
    </border>
    <border>
      <left/>
      <right style="medium">
        <color auto="1"/>
      </right>
      <top/>
      <bottom style="thin">
        <color auto="1"/>
      </bottom>
      <diagonal/>
    </border>
    <border>
      <left/>
      <right style="medium">
        <color auto="1"/>
      </right>
      <top style="thin">
        <color auto="1"/>
      </top>
      <bottom/>
      <diagonal/>
    </border>
    <border>
      <left/>
      <right style="medium">
        <color theme="1"/>
      </right>
      <top/>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right style="thin">
        <color auto="1"/>
      </right>
      <top style="thin">
        <color auto="1"/>
      </top>
      <bottom style="medium">
        <color auto="1"/>
      </bottom>
      <diagonal/>
    </border>
    <border>
      <left style="thin">
        <color auto="1"/>
      </left>
      <right/>
      <top/>
      <bottom style="thin">
        <color auto="1"/>
      </bottom>
      <diagonal/>
    </border>
    <border>
      <left style="thin">
        <color auto="1"/>
      </left>
      <right style="medium">
        <color indexed="64"/>
      </right>
      <top/>
      <bottom style="thin">
        <color auto="1"/>
      </bottom>
      <diagonal/>
    </border>
    <border>
      <left style="thin">
        <color auto="1"/>
      </left>
      <right style="medium">
        <color indexed="64"/>
      </right>
      <top/>
      <bottom style="medium">
        <color indexed="64"/>
      </bottom>
      <diagonal/>
    </border>
  </borders>
  <cellStyleXfs count="8">
    <xf numFmtId="0" fontId="0" fillId="0" borderId="0"/>
    <xf numFmtId="0" fontId="2" fillId="0" borderId="0"/>
    <xf numFmtId="0" fontId="4" fillId="0" borderId="0"/>
    <xf numFmtId="0" fontId="4" fillId="0" borderId="0"/>
    <xf numFmtId="164" fontId="6" fillId="0" borderId="0" applyFont="0" applyFill="0" applyBorder="0" applyAlignment="0" applyProtection="0"/>
    <xf numFmtId="0" fontId="4" fillId="0" borderId="0"/>
    <xf numFmtId="0" fontId="4" fillId="0" borderId="0"/>
    <xf numFmtId="0" fontId="4" fillId="0" borderId="0"/>
  </cellStyleXfs>
  <cellXfs count="295">
    <xf numFmtId="0" fontId="0" fillId="0" borderId="0" xfId="0"/>
    <xf numFmtId="0" fontId="2" fillId="2" borderId="0" xfId="1" applyFill="1"/>
    <xf numFmtId="0" fontId="0" fillId="2" borderId="0" xfId="0" applyFill="1"/>
    <xf numFmtId="0" fontId="0" fillId="2" borderId="0" xfId="0" applyFill="1" applyAlignment="1">
      <alignment horizontal="center" vertical="center"/>
    </xf>
    <xf numFmtId="0" fontId="8" fillId="8" borderId="9" xfId="0" applyFont="1" applyFill="1" applyBorder="1" applyAlignment="1">
      <alignment horizontal="center" vertical="center" wrapText="1"/>
    </xf>
    <xf numFmtId="0" fontId="2" fillId="8" borderId="24" xfId="0" applyFont="1" applyFill="1" applyBorder="1" applyAlignment="1">
      <alignment horizontal="center" vertical="center" textRotation="90"/>
    </xf>
    <xf numFmtId="0" fontId="2" fillId="8" borderId="22" xfId="0" applyFont="1" applyFill="1" applyBorder="1" applyAlignment="1">
      <alignment horizontal="center" vertical="center" textRotation="90"/>
    </xf>
    <xf numFmtId="0" fontId="2" fillId="8" borderId="23" xfId="0" applyFont="1" applyFill="1" applyBorder="1" applyAlignment="1">
      <alignment horizontal="center" vertical="center" textRotation="90"/>
    </xf>
    <xf numFmtId="0" fontId="0" fillId="9" borderId="19" xfId="0" applyFill="1" applyBorder="1"/>
    <xf numFmtId="0" fontId="0" fillId="9" borderId="30" xfId="0" applyFill="1" applyBorder="1"/>
    <xf numFmtId="0" fontId="1" fillId="2" borderId="37" xfId="0" applyFont="1" applyFill="1" applyBorder="1"/>
    <xf numFmtId="0" fontId="13" fillId="2" borderId="38" xfId="0" applyFont="1" applyFill="1" applyBorder="1"/>
    <xf numFmtId="0" fontId="1" fillId="2" borderId="38" xfId="0" applyFont="1" applyFill="1" applyBorder="1" applyAlignment="1">
      <alignment horizontal="center"/>
    </xf>
    <xf numFmtId="0" fontId="1" fillId="2" borderId="0" xfId="0" applyFont="1" applyFill="1" applyAlignment="1">
      <alignment horizontal="center"/>
    </xf>
    <xf numFmtId="0" fontId="0" fillId="0" borderId="0" xfId="0" applyAlignment="1">
      <alignment wrapText="1"/>
    </xf>
    <xf numFmtId="0" fontId="10" fillId="0" borderId="7" xfId="0" applyFont="1" applyBorder="1" applyAlignment="1">
      <alignment horizontal="left" vertical="center" wrapText="1"/>
    </xf>
    <xf numFmtId="0" fontId="12" fillId="3" borderId="40" xfId="0" applyFont="1" applyFill="1" applyBorder="1" applyAlignment="1">
      <alignment horizontal="center" vertical="center"/>
    </xf>
    <xf numFmtId="0" fontId="12" fillId="3" borderId="20" xfId="0" applyFont="1" applyFill="1" applyBorder="1" applyAlignment="1">
      <alignment horizontal="center" vertical="center"/>
    </xf>
    <xf numFmtId="0" fontId="7" fillId="0" borderId="40" xfId="0" applyFont="1" applyBorder="1" applyAlignment="1">
      <alignment horizontal="center" vertical="center" wrapText="1"/>
    </xf>
    <xf numFmtId="0" fontId="1" fillId="2" borderId="36" xfId="0" applyFont="1" applyFill="1" applyBorder="1" applyAlignment="1">
      <alignment horizontal="center"/>
    </xf>
    <xf numFmtId="0" fontId="1" fillId="2" borderId="15" xfId="0" applyFont="1" applyFill="1" applyBorder="1" applyAlignment="1">
      <alignment horizontal="center" vertical="center"/>
    </xf>
    <xf numFmtId="0" fontId="1" fillId="2" borderId="14" xfId="0" applyFont="1" applyFill="1" applyBorder="1"/>
    <xf numFmtId="0" fontId="1" fillId="2" borderId="41" xfId="0" applyFont="1" applyFill="1" applyBorder="1"/>
    <xf numFmtId="0" fontId="13" fillId="2" borderId="42" xfId="0" applyFont="1" applyFill="1" applyBorder="1"/>
    <xf numFmtId="0" fontId="12" fillId="3" borderId="32" xfId="0" applyFont="1" applyFill="1" applyBorder="1" applyAlignment="1">
      <alignment horizontal="center" vertical="center"/>
    </xf>
    <xf numFmtId="0" fontId="0" fillId="3" borderId="0" xfId="0" applyFill="1" applyAlignment="1">
      <alignment horizontal="center" vertical="center"/>
    </xf>
    <xf numFmtId="0" fontId="0" fillId="3" borderId="0" xfId="0" applyFill="1"/>
    <xf numFmtId="0" fontId="0" fillId="3" borderId="5" xfId="0" applyFill="1" applyBorder="1" applyAlignment="1">
      <alignment wrapText="1"/>
    </xf>
    <xf numFmtId="0" fontId="0" fillId="0" borderId="43" xfId="0" applyBorder="1" applyAlignment="1">
      <alignment wrapText="1"/>
    </xf>
    <xf numFmtId="0" fontId="1" fillId="2" borderId="36" xfId="0" applyFont="1" applyFill="1" applyBorder="1"/>
    <xf numFmtId="0" fontId="0" fillId="9" borderId="26" xfId="0" applyFill="1" applyBorder="1"/>
    <xf numFmtId="0" fontId="0" fillId="9" borderId="27" xfId="0" applyFill="1" applyBorder="1"/>
    <xf numFmtId="0" fontId="0" fillId="9" borderId="45" xfId="0" applyFill="1" applyBorder="1"/>
    <xf numFmtId="0" fontId="0" fillId="9" borderId="46" xfId="0" applyFill="1" applyBorder="1"/>
    <xf numFmtId="0" fontId="12" fillId="0" borderId="13" xfId="0" applyFont="1" applyBorder="1" applyAlignment="1">
      <alignment horizontal="center" vertical="center"/>
    </xf>
    <xf numFmtId="0" fontId="12" fillId="3" borderId="14" xfId="0" applyFont="1" applyFill="1" applyBorder="1" applyAlignment="1">
      <alignment horizontal="center" vertical="center"/>
    </xf>
    <xf numFmtId="0" fontId="12" fillId="0" borderId="19" xfId="0" applyFont="1" applyBorder="1" applyAlignment="1">
      <alignment horizontal="center" vertical="center"/>
    </xf>
    <xf numFmtId="0" fontId="7" fillId="3" borderId="30" xfId="0" applyFont="1" applyFill="1" applyBorder="1" applyAlignment="1">
      <alignment horizontal="center" vertical="center" wrapText="1"/>
    </xf>
    <xf numFmtId="0" fontId="0" fillId="3" borderId="0" xfId="0" applyFill="1" applyAlignment="1">
      <alignment wrapText="1"/>
    </xf>
    <xf numFmtId="0" fontId="7" fillId="0" borderId="20" xfId="0" applyFont="1" applyBorder="1" applyAlignment="1">
      <alignment horizontal="center" vertical="center" wrapText="1"/>
    </xf>
    <xf numFmtId="0" fontId="0" fillId="9" borderId="25" xfId="0" applyFill="1" applyBorder="1"/>
    <xf numFmtId="0" fontId="0" fillId="9" borderId="29" xfId="0" applyFill="1" applyBorder="1"/>
    <xf numFmtId="0" fontId="0" fillId="9" borderId="47" xfId="0" applyFill="1" applyBorder="1"/>
    <xf numFmtId="0" fontId="7" fillId="9" borderId="10" xfId="0" applyFont="1" applyFill="1" applyBorder="1" applyAlignment="1">
      <alignment horizontal="center" vertical="center"/>
    </xf>
    <xf numFmtId="0" fontId="7" fillId="9" borderId="37" xfId="0" applyFont="1" applyFill="1" applyBorder="1" applyAlignment="1">
      <alignment horizontal="center" vertical="center"/>
    </xf>
    <xf numFmtId="0" fontId="7" fillId="9" borderId="12" xfId="0" applyFont="1" applyFill="1" applyBorder="1" applyAlignment="1">
      <alignment horizontal="center" vertical="center"/>
    </xf>
    <xf numFmtId="0" fontId="0" fillId="2" borderId="0" xfId="0" applyFill="1" applyAlignment="1">
      <alignment horizontal="right"/>
    </xf>
    <xf numFmtId="0" fontId="0" fillId="2" borderId="1" xfId="0" applyFill="1" applyBorder="1" applyAlignment="1">
      <alignment horizontal="center" vertical="center"/>
    </xf>
    <xf numFmtId="0" fontId="0" fillId="2" borderId="2" xfId="0" applyFill="1" applyBorder="1" applyAlignment="1">
      <alignment horizontal="center" vertical="center"/>
    </xf>
    <xf numFmtId="0" fontId="0" fillId="2" borderId="2" xfId="0" applyFill="1" applyBorder="1"/>
    <xf numFmtId="0" fontId="0" fillId="2" borderId="3" xfId="0" applyFill="1" applyBorder="1"/>
    <xf numFmtId="0" fontId="0" fillId="2" borderId="4" xfId="0" applyFill="1" applyBorder="1" applyAlignment="1">
      <alignment horizontal="center" vertical="center"/>
    </xf>
    <xf numFmtId="0" fontId="0" fillId="2" borderId="5" xfId="0" applyFill="1" applyBorder="1"/>
    <xf numFmtId="0" fontId="0" fillId="2" borderId="21" xfId="0" applyFill="1" applyBorder="1" applyAlignment="1">
      <alignment horizontal="center" vertical="center"/>
    </xf>
    <xf numFmtId="0" fontId="0" fillId="2" borderId="13" xfId="0" applyFill="1" applyBorder="1" applyAlignment="1">
      <alignment horizontal="center" vertical="center"/>
    </xf>
    <xf numFmtId="0" fontId="0" fillId="2" borderId="13" xfId="0" applyFill="1" applyBorder="1"/>
    <xf numFmtId="0" fontId="0" fillId="2" borderId="14" xfId="0" applyFill="1" applyBorder="1"/>
    <xf numFmtId="0" fontId="15" fillId="2" borderId="0" xfId="1" applyFont="1" applyFill="1"/>
    <xf numFmtId="0" fontId="12" fillId="3" borderId="39" xfId="0" applyFont="1" applyFill="1" applyBorder="1" applyAlignment="1">
      <alignment horizontal="center" vertical="center"/>
    </xf>
    <xf numFmtId="0" fontId="0" fillId="7" borderId="0" xfId="0" applyFill="1"/>
    <xf numFmtId="0" fontId="0" fillId="5" borderId="0" xfId="0" applyFill="1"/>
    <xf numFmtId="0" fontId="0" fillId="0" borderId="0" xfId="0" applyAlignment="1">
      <alignment horizontal="center"/>
    </xf>
    <xf numFmtId="0" fontId="2" fillId="0" borderId="0" xfId="1"/>
    <xf numFmtId="0" fontId="2" fillId="0" borderId="0" xfId="1" applyAlignment="1">
      <alignment wrapText="1"/>
    </xf>
    <xf numFmtId="0" fontId="5" fillId="0" borderId="0" xfId="1" applyFont="1"/>
    <xf numFmtId="0" fontId="5" fillId="0" borderId="0" xfId="1" applyFont="1" applyAlignment="1">
      <alignment wrapText="1"/>
    </xf>
    <xf numFmtId="2" fontId="5" fillId="0" borderId="0" xfId="4" applyNumberFormat="1" applyFont="1" applyFill="1" applyBorder="1"/>
    <xf numFmtId="0" fontId="2" fillId="9" borderId="17" xfId="4" applyNumberFormat="1" applyFont="1" applyFill="1" applyBorder="1" applyAlignment="1">
      <alignment horizontal="center" vertical="center"/>
    </xf>
    <xf numFmtId="166" fontId="2" fillId="10" borderId="17" xfId="4" applyNumberFormat="1" applyFont="1" applyFill="1" applyBorder="1" applyAlignment="1">
      <alignment horizontal="center" vertical="center"/>
    </xf>
    <xf numFmtId="0" fontId="2" fillId="0" borderId="0" xfId="1" applyAlignment="1">
      <alignment vertical="center"/>
    </xf>
    <xf numFmtId="0" fontId="2" fillId="2" borderId="0" xfId="1" applyFill="1" applyAlignment="1">
      <alignment vertical="center"/>
    </xf>
    <xf numFmtId="0" fontId="1" fillId="0" borderId="0" xfId="0" applyFont="1"/>
    <xf numFmtId="0" fontId="19" fillId="4" borderId="0" xfId="0" applyFont="1" applyFill="1"/>
    <xf numFmtId="0" fontId="19" fillId="4" borderId="0" xfId="0" applyFont="1" applyFill="1" applyAlignment="1">
      <alignment horizontal="center"/>
    </xf>
    <xf numFmtId="0" fontId="0" fillId="7" borderId="0" xfId="0" applyFill="1" applyAlignment="1">
      <alignment horizontal="center"/>
    </xf>
    <xf numFmtId="0" fontId="0" fillId="5" borderId="0" xfId="0" applyFill="1" applyAlignment="1">
      <alignment horizontal="center"/>
    </xf>
    <xf numFmtId="0" fontId="0" fillId="12" borderId="0" xfId="0" applyFill="1"/>
    <xf numFmtId="0" fontId="0" fillId="12" borderId="0" xfId="0" applyFill="1" applyAlignment="1">
      <alignment horizontal="center"/>
    </xf>
    <xf numFmtId="0" fontId="4" fillId="0" borderId="19" xfId="5" applyBorder="1" applyAlignment="1">
      <alignment horizontal="left" vertical="center" wrapText="1"/>
    </xf>
    <xf numFmtId="0" fontId="4" fillId="0" borderId="19" xfId="5" applyBorder="1" applyAlignment="1">
      <alignment horizontal="center" vertical="center" wrapText="1"/>
    </xf>
    <xf numFmtId="0" fontId="4" fillId="0" borderId="32" xfId="5" applyBorder="1" applyAlignment="1">
      <alignment horizontal="left" vertical="center" wrapText="1"/>
    </xf>
    <xf numFmtId="0" fontId="4" fillId="0" borderId="32" xfId="5" applyBorder="1" applyAlignment="1">
      <alignment horizontal="center" vertical="center" wrapText="1"/>
    </xf>
    <xf numFmtId="0" fontId="22" fillId="13" borderId="19" xfId="0" applyFont="1" applyFill="1" applyBorder="1" applyAlignment="1">
      <alignment horizontal="center" vertical="center" wrapText="1"/>
    </xf>
    <xf numFmtId="0" fontId="23" fillId="14" borderId="48" xfId="0" applyFont="1" applyFill="1" applyBorder="1" applyAlignment="1">
      <alignment horizontal="center" vertical="center" wrapText="1"/>
    </xf>
    <xf numFmtId="167" fontId="1" fillId="10" borderId="9" xfId="0" applyNumberFormat="1" applyFont="1" applyFill="1" applyBorder="1" applyAlignment="1">
      <alignment horizontal="center"/>
    </xf>
    <xf numFmtId="168" fontId="0" fillId="0" borderId="13" xfId="0" applyNumberFormat="1" applyBorder="1" applyAlignment="1">
      <alignment horizontal="center"/>
    </xf>
    <xf numFmtId="166" fontId="4" fillId="10" borderId="17" xfId="4" applyNumberFormat="1" applyFont="1" applyFill="1" applyBorder="1" applyAlignment="1">
      <alignment horizontal="center" vertical="center"/>
    </xf>
    <xf numFmtId="0" fontId="0" fillId="10" borderId="35" xfId="0" applyFill="1" applyBorder="1" applyAlignment="1">
      <alignment vertical="center" wrapText="1"/>
    </xf>
    <xf numFmtId="0" fontId="2" fillId="10" borderId="17" xfId="1" applyFill="1" applyBorder="1" applyAlignment="1">
      <alignment horizontal="center" vertical="center"/>
    </xf>
    <xf numFmtId="0" fontId="2" fillId="10" borderId="19" xfId="1" applyFill="1" applyBorder="1" applyAlignment="1">
      <alignment horizontal="center" vertical="center"/>
    </xf>
    <xf numFmtId="0" fontId="4" fillId="10" borderId="17" xfId="1" applyFont="1" applyFill="1" applyBorder="1" applyAlignment="1">
      <alignment horizontal="justify" vertical="center" wrapText="1"/>
    </xf>
    <xf numFmtId="0" fontId="4" fillId="10" borderId="17" xfId="1" applyFont="1" applyFill="1" applyBorder="1" applyAlignment="1">
      <alignment vertical="center" wrapText="1"/>
    </xf>
    <xf numFmtId="0" fontId="1" fillId="10" borderId="35" xfId="0" applyFont="1" applyFill="1" applyBorder="1" applyAlignment="1">
      <alignment vertical="center" wrapText="1"/>
    </xf>
    <xf numFmtId="0" fontId="3" fillId="9" borderId="17" xfId="1" applyFont="1" applyFill="1" applyBorder="1" applyAlignment="1">
      <alignment vertical="center" wrapText="1"/>
    </xf>
    <xf numFmtId="0" fontId="2" fillId="0" borderId="37" xfId="1" applyBorder="1" applyAlignment="1">
      <alignment horizontal="center" vertical="center"/>
    </xf>
    <xf numFmtId="165" fontId="2" fillId="10" borderId="17" xfId="1" applyNumberFormat="1" applyFill="1" applyBorder="1" applyAlignment="1">
      <alignment horizontal="center" vertical="center"/>
    </xf>
    <xf numFmtId="0" fontId="2" fillId="9" borderId="19" xfId="1" applyFill="1" applyBorder="1" applyAlignment="1">
      <alignment horizontal="center" vertical="center"/>
    </xf>
    <xf numFmtId="0" fontId="2" fillId="0" borderId="17" xfId="1" applyBorder="1" applyAlignment="1">
      <alignment horizontal="center" vertical="center"/>
    </xf>
    <xf numFmtId="0" fontId="2" fillId="9" borderId="17" xfId="1" applyFill="1" applyBorder="1" applyAlignment="1">
      <alignment horizontal="center" vertical="center"/>
    </xf>
    <xf numFmtId="0" fontId="3" fillId="10" borderId="17" xfId="1" applyFont="1" applyFill="1" applyBorder="1" applyAlignment="1">
      <alignment vertical="center" wrapText="1"/>
    </xf>
    <xf numFmtId="0" fontId="1" fillId="10" borderId="19" xfId="0" applyFont="1" applyFill="1" applyBorder="1" applyAlignment="1">
      <alignment vertical="center" wrapText="1"/>
    </xf>
    <xf numFmtId="0" fontId="2" fillId="0" borderId="10" xfId="1" applyBorder="1" applyAlignment="1">
      <alignment horizontal="center" vertical="center"/>
    </xf>
    <xf numFmtId="0" fontId="0" fillId="10" borderId="34" xfId="0" applyFill="1" applyBorder="1" applyAlignment="1">
      <alignment vertical="center" wrapText="1"/>
    </xf>
    <xf numFmtId="0" fontId="2" fillId="9" borderId="17" xfId="1" applyFill="1" applyBorder="1" applyAlignment="1">
      <alignment horizontal="center" vertical="center" wrapText="1"/>
    </xf>
    <xf numFmtId="0" fontId="2" fillId="10" borderId="17" xfId="1" applyFill="1" applyBorder="1" applyAlignment="1">
      <alignment horizontal="justify" vertical="center" wrapText="1"/>
    </xf>
    <xf numFmtId="165" fontId="2" fillId="0" borderId="17" xfId="1" applyNumberFormat="1" applyBorder="1" applyAlignment="1">
      <alignment horizontal="center" vertical="center"/>
    </xf>
    <xf numFmtId="0" fontId="2" fillId="10" borderId="17" xfId="1" applyFill="1" applyBorder="1" applyAlignment="1">
      <alignment vertical="center" wrapText="1"/>
    </xf>
    <xf numFmtId="0" fontId="2" fillId="9" borderId="17" xfId="1" applyFill="1" applyBorder="1" applyAlignment="1">
      <alignment vertical="center" wrapText="1"/>
    </xf>
    <xf numFmtId="0" fontId="0" fillId="10" borderId="19" xfId="0" applyFill="1" applyBorder="1" applyAlignment="1">
      <alignment vertical="center" wrapText="1"/>
    </xf>
    <xf numFmtId="0" fontId="25" fillId="0" borderId="9" xfId="6" applyFont="1" applyBorder="1" applyAlignment="1">
      <alignment horizontal="left" vertical="center" wrapText="1"/>
    </xf>
    <xf numFmtId="0" fontId="24" fillId="0" borderId="0" xfId="0" applyFont="1"/>
    <xf numFmtId="169" fontId="25" fillId="0" borderId="9" xfId="6" applyNumberFormat="1" applyFont="1" applyBorder="1" applyAlignment="1">
      <alignment horizontal="left" vertical="center" wrapText="1"/>
    </xf>
    <xf numFmtId="9" fontId="25" fillId="10" borderId="9" xfId="1" applyNumberFormat="1" applyFont="1" applyFill="1" applyBorder="1" applyAlignment="1">
      <alignment horizontal="center" vertical="center" wrapText="1"/>
    </xf>
    <xf numFmtId="0" fontId="11" fillId="4" borderId="9" xfId="1" applyFont="1" applyFill="1" applyBorder="1" applyAlignment="1">
      <alignment horizontal="center" vertical="center"/>
    </xf>
    <xf numFmtId="0" fontId="11" fillId="7" borderId="9" xfId="1" applyFont="1" applyFill="1" applyBorder="1" applyAlignment="1">
      <alignment horizontal="center" vertical="center"/>
    </xf>
    <xf numFmtId="0" fontId="11" fillId="5" borderId="9" xfId="1" applyFont="1" applyFill="1" applyBorder="1" applyAlignment="1">
      <alignment horizontal="center" vertical="center"/>
    </xf>
    <xf numFmtId="0" fontId="11" fillId="6" borderId="7" xfId="1" applyFont="1" applyFill="1" applyBorder="1" applyAlignment="1">
      <alignment horizontal="center" vertical="center"/>
    </xf>
    <xf numFmtId="0" fontId="2" fillId="0" borderId="12" xfId="1" applyBorder="1" applyAlignment="1">
      <alignment horizontal="center" vertical="center"/>
    </xf>
    <xf numFmtId="0" fontId="2" fillId="9" borderId="49" xfId="1" applyFill="1" applyBorder="1" applyAlignment="1">
      <alignment vertical="center" wrapText="1"/>
    </xf>
    <xf numFmtId="0" fontId="0" fillId="10" borderId="44" xfId="0" applyFill="1" applyBorder="1" applyAlignment="1">
      <alignment vertical="center" wrapText="1"/>
    </xf>
    <xf numFmtId="0" fontId="2" fillId="10" borderId="45" xfId="1" applyFill="1" applyBorder="1" applyAlignment="1">
      <alignment horizontal="center" vertical="center"/>
    </xf>
    <xf numFmtId="0" fontId="2" fillId="9" borderId="45" xfId="1" applyFill="1" applyBorder="1" applyAlignment="1">
      <alignment horizontal="center" vertical="center"/>
    </xf>
    <xf numFmtId="0" fontId="2" fillId="10" borderId="40" xfId="1" applyFill="1" applyBorder="1" applyAlignment="1">
      <alignment horizontal="center" vertical="center"/>
    </xf>
    <xf numFmtId="0" fontId="2" fillId="9" borderId="40" xfId="1" applyFill="1" applyBorder="1" applyAlignment="1">
      <alignment horizontal="center" vertical="center"/>
    </xf>
    <xf numFmtId="166" fontId="4" fillId="10" borderId="40" xfId="4" applyNumberFormat="1" applyFont="1" applyFill="1" applyBorder="1" applyAlignment="1">
      <alignment horizontal="center" vertical="center"/>
    </xf>
    <xf numFmtId="0" fontId="2" fillId="9" borderId="40" xfId="4" applyNumberFormat="1" applyFont="1" applyFill="1" applyBorder="1" applyAlignment="1">
      <alignment horizontal="center" vertical="center"/>
    </xf>
    <xf numFmtId="0" fontId="4" fillId="10" borderId="40" xfId="1" applyFont="1" applyFill="1" applyBorder="1" applyAlignment="1">
      <alignment vertical="center" wrapText="1"/>
    </xf>
    <xf numFmtId="0" fontId="2" fillId="9" borderId="40" xfId="1" applyFill="1" applyBorder="1" applyAlignment="1">
      <alignment horizontal="center" vertical="center" wrapText="1"/>
    </xf>
    <xf numFmtId="0" fontId="4" fillId="10" borderId="40" xfId="1" applyFont="1" applyFill="1" applyBorder="1" applyAlignment="1">
      <alignment horizontal="justify" vertical="center" wrapText="1"/>
    </xf>
    <xf numFmtId="165" fontId="2" fillId="10" borderId="40" xfId="1" applyNumberFormat="1" applyFill="1" applyBorder="1" applyAlignment="1">
      <alignment horizontal="center" vertical="center"/>
    </xf>
    <xf numFmtId="0" fontId="2" fillId="10" borderId="40" xfId="1" applyFill="1" applyBorder="1" applyAlignment="1">
      <alignment vertical="center" wrapText="1"/>
    </xf>
    <xf numFmtId="0" fontId="2" fillId="9" borderId="40" xfId="1" applyFill="1" applyBorder="1" applyAlignment="1">
      <alignment vertical="center" wrapText="1"/>
    </xf>
    <xf numFmtId="0" fontId="2" fillId="9" borderId="50" xfId="1" applyFill="1" applyBorder="1" applyAlignment="1">
      <alignment vertical="center" wrapText="1"/>
    </xf>
    <xf numFmtId="0" fontId="26" fillId="0" borderId="9" xfId="6" applyFont="1" applyBorder="1" applyAlignment="1">
      <alignment horizontal="center" vertical="center" wrapText="1"/>
    </xf>
    <xf numFmtId="0" fontId="27" fillId="0" borderId="0" xfId="0" applyFont="1"/>
    <xf numFmtId="0" fontId="26" fillId="0" borderId="6" xfId="7" applyFont="1" applyBorder="1" applyAlignment="1">
      <alignment horizontal="center"/>
    </xf>
    <xf numFmtId="0" fontId="27" fillId="0" borderId="0" xfId="0" applyFont="1" applyAlignment="1">
      <alignment vertical="center"/>
    </xf>
    <xf numFmtId="0" fontId="25" fillId="15" borderId="9" xfId="1" applyFont="1" applyFill="1" applyBorder="1" applyAlignment="1">
      <alignment horizontal="center" vertical="center"/>
    </xf>
    <xf numFmtId="0" fontId="25" fillId="15" borderId="15" xfId="1" applyFont="1" applyFill="1" applyBorder="1" applyAlignment="1">
      <alignment horizontal="center" vertical="center" wrapText="1"/>
    </xf>
    <xf numFmtId="0" fontId="25" fillId="15" borderId="14" xfId="1" applyFont="1" applyFill="1" applyBorder="1" applyAlignment="1">
      <alignment horizontal="center" vertical="center" wrapText="1"/>
    </xf>
    <xf numFmtId="0" fontId="27" fillId="0" borderId="10" xfId="7" applyFont="1" applyBorder="1" applyAlignment="1">
      <alignment horizontal="justify" vertical="center" wrapText="1"/>
    </xf>
    <xf numFmtId="0" fontId="27" fillId="0" borderId="37" xfId="7" applyFont="1" applyBorder="1" applyAlignment="1">
      <alignment horizontal="justify" vertical="center"/>
    </xf>
    <xf numFmtId="0" fontId="27" fillId="15" borderId="37" xfId="7" applyFont="1" applyFill="1" applyBorder="1" applyAlignment="1">
      <alignment horizontal="justify" vertical="center"/>
    </xf>
    <xf numFmtId="0" fontId="27" fillId="15" borderId="37" xfId="7" applyFont="1" applyFill="1" applyBorder="1" applyAlignment="1">
      <alignment horizontal="justify" vertical="center" wrapText="1"/>
    </xf>
    <xf numFmtId="0" fontId="27" fillId="0" borderId="37" xfId="7" applyFont="1" applyBorder="1" applyAlignment="1">
      <alignment horizontal="justify" vertical="center" wrapText="1"/>
    </xf>
    <xf numFmtId="0" fontId="27" fillId="15" borderId="37" xfId="0" applyFont="1" applyFill="1" applyBorder="1" applyAlignment="1">
      <alignment horizontal="justify" vertical="center"/>
    </xf>
    <xf numFmtId="0" fontId="27" fillId="15" borderId="37" xfId="0" applyFont="1" applyFill="1" applyBorder="1" applyAlignment="1">
      <alignment horizontal="justify" vertical="center" wrapText="1"/>
    </xf>
    <xf numFmtId="0" fontId="20" fillId="0" borderId="28" xfId="0" applyFont="1" applyBorder="1" applyAlignment="1">
      <alignment vertical="center" wrapText="1"/>
    </xf>
    <xf numFmtId="14" fontId="20" fillId="0" borderId="28" xfId="0" applyNumberFormat="1" applyFont="1" applyBorder="1" applyAlignment="1">
      <alignment vertical="center" wrapText="1"/>
    </xf>
    <xf numFmtId="49" fontId="25" fillId="0" borderId="9" xfId="6" applyNumberFormat="1" applyFont="1" applyBorder="1" applyAlignment="1">
      <alignment horizontal="left" vertical="center" wrapText="1"/>
    </xf>
    <xf numFmtId="0" fontId="25" fillId="11" borderId="11" xfId="1" applyFont="1" applyFill="1" applyBorder="1" applyAlignment="1">
      <alignment horizontal="center" vertical="center" wrapText="1"/>
    </xf>
    <xf numFmtId="0" fontId="25" fillId="11" borderId="15" xfId="1" applyFont="1" applyFill="1" applyBorder="1" applyAlignment="1">
      <alignment horizontal="center" vertical="center" wrapText="1"/>
    </xf>
    <xf numFmtId="0" fontId="21" fillId="11" borderId="6" xfId="1" applyFont="1" applyFill="1" applyBorder="1" applyAlignment="1">
      <alignment horizontal="center" vertical="center" wrapText="1"/>
    </xf>
    <xf numFmtId="0" fontId="21" fillId="11" borderId="7" xfId="1" applyFont="1" applyFill="1" applyBorder="1" applyAlignment="1">
      <alignment horizontal="center" vertical="center"/>
    </xf>
    <xf numFmtId="0" fontId="21" fillId="11" borderId="8" xfId="1" applyFont="1" applyFill="1" applyBorder="1" applyAlignment="1">
      <alignment horizontal="center" vertical="center"/>
    </xf>
    <xf numFmtId="0" fontId="9" fillId="11" borderId="1" xfId="1" applyFont="1" applyFill="1" applyBorder="1" applyAlignment="1">
      <alignment horizontal="center" vertical="center" wrapText="1"/>
    </xf>
    <xf numFmtId="0" fontId="9" fillId="11" borderId="3" xfId="1" applyFont="1" applyFill="1" applyBorder="1" applyAlignment="1">
      <alignment horizontal="center" vertical="center" wrapText="1"/>
    </xf>
    <xf numFmtId="0" fontId="9" fillId="11" borderId="21" xfId="1" applyFont="1" applyFill="1" applyBorder="1" applyAlignment="1">
      <alignment horizontal="center" vertical="center" wrapText="1"/>
    </xf>
    <xf numFmtId="0" fontId="9" fillId="11" borderId="14" xfId="1" applyFont="1" applyFill="1" applyBorder="1" applyAlignment="1">
      <alignment horizontal="center" vertical="center" wrapText="1"/>
    </xf>
    <xf numFmtId="0" fontId="25" fillId="15" borderId="11" xfId="1" applyFont="1" applyFill="1" applyBorder="1" applyAlignment="1">
      <alignment horizontal="center" vertical="center" wrapText="1"/>
    </xf>
    <xf numFmtId="0" fontId="25" fillId="15" borderId="15" xfId="1" applyFont="1" applyFill="1" applyBorder="1" applyAlignment="1">
      <alignment horizontal="center" vertical="center" wrapText="1"/>
    </xf>
    <xf numFmtId="0" fontId="24" fillId="0" borderId="1" xfId="0" applyFont="1" applyBorder="1" applyAlignment="1">
      <alignment horizontal="center"/>
    </xf>
    <xf numFmtId="0" fontId="24" fillId="0" borderId="3" xfId="0" applyFont="1" applyBorder="1" applyAlignment="1">
      <alignment horizontal="center"/>
    </xf>
    <xf numFmtId="0" fontId="24" fillId="0" borderId="4" xfId="0" applyFont="1" applyBorder="1" applyAlignment="1">
      <alignment horizontal="center"/>
    </xf>
    <xf numFmtId="0" fontId="24" fillId="0" borderId="5" xfId="0" applyFont="1" applyBorder="1" applyAlignment="1">
      <alignment horizontal="center"/>
    </xf>
    <xf numFmtId="0" fontId="24" fillId="0" borderId="21" xfId="0" applyFont="1" applyBorder="1" applyAlignment="1">
      <alignment horizontal="center"/>
    </xf>
    <xf numFmtId="0" fontId="24" fillId="0" borderId="14" xfId="0" applyFont="1" applyBorder="1" applyAlignment="1">
      <alignment horizontal="center"/>
    </xf>
    <xf numFmtId="0" fontId="25" fillId="0" borderId="6" xfId="0" applyFont="1" applyBorder="1" applyAlignment="1">
      <alignment horizontal="left" vertical="center"/>
    </xf>
    <xf numFmtId="0" fontId="25" fillId="0" borderId="7" xfId="0" applyFont="1" applyBorder="1" applyAlignment="1">
      <alignment horizontal="left" vertical="center"/>
    </xf>
    <xf numFmtId="0" fontId="25" fillId="0" borderId="8" xfId="0" applyFont="1" applyBorder="1" applyAlignment="1">
      <alignment horizontal="left" vertical="center"/>
    </xf>
    <xf numFmtId="0" fontId="25" fillId="0" borderId="1" xfId="0" applyFont="1" applyBorder="1" applyAlignment="1">
      <alignment horizontal="center" vertical="center" wrapText="1"/>
    </xf>
    <xf numFmtId="0" fontId="25" fillId="0" borderId="2" xfId="0" applyFont="1" applyBorder="1" applyAlignment="1">
      <alignment horizontal="center" vertical="center"/>
    </xf>
    <xf numFmtId="0" fontId="25" fillId="0" borderId="3" xfId="0" applyFont="1" applyBorder="1" applyAlignment="1">
      <alignment horizontal="center" vertical="center"/>
    </xf>
    <xf numFmtId="0" fontId="25" fillId="0" borderId="4" xfId="0" applyFont="1" applyBorder="1" applyAlignment="1">
      <alignment horizontal="center" vertical="center"/>
    </xf>
    <xf numFmtId="0" fontId="25" fillId="0" borderId="0" xfId="0" applyFont="1" applyAlignment="1">
      <alignment horizontal="center" vertical="center"/>
    </xf>
    <xf numFmtId="0" fontId="25" fillId="0" borderId="5" xfId="0" applyFont="1" applyBorder="1" applyAlignment="1">
      <alignment horizontal="center" vertical="center"/>
    </xf>
    <xf numFmtId="0" fontId="25" fillId="0" borderId="21" xfId="0" applyFont="1" applyBorder="1" applyAlignment="1">
      <alignment horizontal="center" vertical="center"/>
    </xf>
    <xf numFmtId="0" fontId="25" fillId="0" borderId="13" xfId="0" applyFont="1" applyBorder="1" applyAlignment="1">
      <alignment horizontal="center" vertical="center"/>
    </xf>
    <xf numFmtId="0" fontId="25" fillId="0" borderId="14" xfId="0" applyFont="1" applyBorder="1" applyAlignment="1">
      <alignment horizontal="center" vertical="center"/>
    </xf>
    <xf numFmtId="0" fontId="20" fillId="0" borderId="0" xfId="0" applyFont="1" applyAlignment="1">
      <alignment horizontal="center" vertical="center" wrapText="1"/>
    </xf>
    <xf numFmtId="0" fontId="27" fillId="0" borderId="34" xfId="7" applyFont="1" applyBorder="1" applyAlignment="1">
      <alignment horizontal="justify" vertical="center" wrapText="1"/>
    </xf>
    <xf numFmtId="0" fontId="27" fillId="0" borderId="26" xfId="7" applyFont="1" applyBorder="1" applyAlignment="1">
      <alignment horizontal="justify" vertical="center" wrapText="1"/>
    </xf>
    <xf numFmtId="0" fontId="27" fillId="0" borderId="27" xfId="7" applyFont="1" applyBorder="1" applyAlignment="1">
      <alignment horizontal="justify" vertical="center" wrapText="1"/>
    </xf>
    <xf numFmtId="0" fontId="27" fillId="0" borderId="11" xfId="0" applyFont="1" applyBorder="1" applyAlignment="1">
      <alignment horizontal="center"/>
    </xf>
    <xf numFmtId="0" fontId="27" fillId="0" borderId="28" xfId="0" applyFont="1" applyBorder="1" applyAlignment="1">
      <alignment horizontal="center"/>
    </xf>
    <xf numFmtId="0" fontId="27" fillId="0" borderId="15" xfId="0" applyFont="1" applyBorder="1" applyAlignment="1">
      <alignment horizontal="center"/>
    </xf>
    <xf numFmtId="0" fontId="26" fillId="0" borderId="1" xfId="7" applyFont="1" applyBorder="1" applyAlignment="1">
      <alignment horizontal="center" vertical="center" wrapText="1"/>
    </xf>
    <xf numFmtId="0" fontId="26" fillId="0" borderId="2" xfId="7" applyFont="1" applyBorder="1" applyAlignment="1">
      <alignment horizontal="center" vertical="center" wrapText="1"/>
    </xf>
    <xf numFmtId="0" fontId="26" fillId="0" borderId="3" xfId="7" applyFont="1" applyBorder="1" applyAlignment="1">
      <alignment horizontal="center" vertical="center" wrapText="1"/>
    </xf>
    <xf numFmtId="0" fontId="26" fillId="0" borderId="6" xfId="7" applyFont="1" applyBorder="1" applyAlignment="1">
      <alignment horizontal="center"/>
    </xf>
    <xf numFmtId="0" fontId="26" fillId="0" borderId="7" xfId="7" applyFont="1" applyBorder="1" applyAlignment="1">
      <alignment horizontal="center"/>
    </xf>
    <xf numFmtId="0" fontId="26" fillId="0" borderId="8" xfId="7" applyFont="1" applyBorder="1" applyAlignment="1">
      <alignment horizontal="center"/>
    </xf>
    <xf numFmtId="0" fontId="26" fillId="0" borderId="6" xfId="0" applyFont="1" applyBorder="1" applyAlignment="1">
      <alignment horizontal="left" vertical="center"/>
    </xf>
    <xf numFmtId="0" fontId="26" fillId="0" borderId="7" xfId="0" applyFont="1" applyBorder="1" applyAlignment="1">
      <alignment horizontal="left" vertical="center"/>
    </xf>
    <xf numFmtId="0" fontId="26" fillId="0" borderId="8" xfId="0" applyFont="1" applyBorder="1" applyAlignment="1">
      <alignment horizontal="left" vertical="center"/>
    </xf>
    <xf numFmtId="0" fontId="26" fillId="0" borderId="1" xfId="0" applyFont="1" applyBorder="1" applyAlignment="1">
      <alignment horizontal="center" vertical="center" wrapText="1"/>
    </xf>
    <xf numFmtId="0" fontId="26" fillId="0" borderId="2" xfId="0" applyFont="1" applyBorder="1" applyAlignment="1">
      <alignment horizontal="center" vertical="center"/>
    </xf>
    <xf numFmtId="0" fontId="26" fillId="0" borderId="3" xfId="0" applyFont="1" applyBorder="1" applyAlignment="1">
      <alignment horizontal="center" vertical="center"/>
    </xf>
    <xf numFmtId="0" fontId="26" fillId="0" borderId="4" xfId="0" applyFont="1" applyBorder="1" applyAlignment="1">
      <alignment horizontal="center" vertical="center"/>
    </xf>
    <xf numFmtId="0" fontId="26" fillId="0" borderId="0" xfId="0" applyFont="1" applyAlignment="1">
      <alignment horizontal="center" vertical="center"/>
    </xf>
    <xf numFmtId="0" fontId="26" fillId="0" borderId="5" xfId="0" applyFont="1" applyBorder="1" applyAlignment="1">
      <alignment horizontal="center" vertical="center"/>
    </xf>
    <xf numFmtId="0" fontId="26" fillId="0" borderId="21" xfId="0" applyFont="1" applyBorder="1" applyAlignment="1">
      <alignment horizontal="center" vertical="center"/>
    </xf>
    <xf numFmtId="0" fontId="26" fillId="0" borderId="13" xfId="0" applyFont="1" applyBorder="1" applyAlignment="1">
      <alignment horizontal="center" vertical="center"/>
    </xf>
    <xf numFmtId="0" fontId="26" fillId="0" borderId="14" xfId="0" applyFont="1" applyBorder="1" applyAlignment="1">
      <alignment horizontal="center" vertical="center"/>
    </xf>
    <xf numFmtId="0" fontId="27" fillId="15" borderId="35" xfId="7" applyFont="1" applyFill="1" applyBorder="1" applyAlignment="1">
      <alignment horizontal="justify" vertical="center" wrapText="1"/>
    </xf>
    <xf numFmtId="0" fontId="27" fillId="15" borderId="19" xfId="7" applyFont="1" applyFill="1" applyBorder="1" applyAlignment="1">
      <alignment horizontal="justify" vertical="center" wrapText="1"/>
    </xf>
    <xf numFmtId="0" fontId="27" fillId="15" borderId="30" xfId="7" applyFont="1" applyFill="1" applyBorder="1" applyAlignment="1">
      <alignment horizontal="justify" vertical="center" wrapText="1"/>
    </xf>
    <xf numFmtId="0" fontId="27" fillId="0" borderId="35" xfId="7" applyFont="1" applyBorder="1" applyAlignment="1">
      <alignment horizontal="justify"/>
    </xf>
    <xf numFmtId="0" fontId="27" fillId="0" borderId="19" xfId="7" applyFont="1" applyBorder="1" applyAlignment="1">
      <alignment horizontal="justify"/>
    </xf>
    <xf numFmtId="0" fontId="27" fillId="0" borderId="30" xfId="7" applyFont="1" applyBorder="1" applyAlignment="1">
      <alignment horizontal="justify"/>
    </xf>
    <xf numFmtId="0" fontId="27" fillId="15" borderId="35" xfId="7" applyFont="1" applyFill="1" applyBorder="1" applyAlignment="1">
      <alignment horizontal="justify" wrapText="1"/>
    </xf>
    <xf numFmtId="0" fontId="27" fillId="15" borderId="19" xfId="7" applyFont="1" applyFill="1" applyBorder="1" applyAlignment="1">
      <alignment horizontal="justify" wrapText="1"/>
    </xf>
    <xf numFmtId="0" fontId="27" fillId="15" borderId="30" xfId="7" applyFont="1" applyFill="1" applyBorder="1" applyAlignment="1">
      <alignment horizontal="justify" wrapText="1"/>
    </xf>
    <xf numFmtId="0" fontId="27" fillId="0" borderId="35" xfId="7" applyFont="1" applyBorder="1" applyAlignment="1">
      <alignment horizontal="justify" vertical="center" wrapText="1"/>
    </xf>
    <xf numFmtId="0" fontId="27" fillId="0" borderId="19" xfId="7" applyFont="1" applyBorder="1" applyAlignment="1">
      <alignment horizontal="justify" vertical="center" wrapText="1"/>
    </xf>
    <xf numFmtId="0" fontId="27" fillId="0" borderId="30" xfId="7" applyFont="1" applyBorder="1" applyAlignment="1">
      <alignment horizontal="justify" vertical="center" wrapText="1"/>
    </xf>
    <xf numFmtId="0" fontId="1" fillId="2" borderId="6" xfId="0" applyFont="1" applyFill="1" applyBorder="1" applyAlignment="1">
      <alignment horizontal="right" vertical="center"/>
    </xf>
    <xf numFmtId="0" fontId="1" fillId="2" borderId="7" xfId="0" applyFont="1" applyFill="1" applyBorder="1" applyAlignment="1">
      <alignment horizontal="right" vertical="center"/>
    </xf>
    <xf numFmtId="0" fontId="1" fillId="2" borderId="8" xfId="0" applyFont="1" applyFill="1" applyBorder="1" applyAlignment="1">
      <alignment horizontal="right" vertical="center"/>
    </xf>
    <xf numFmtId="0" fontId="1" fillId="2" borderId="6" xfId="0" applyFont="1" applyFill="1" applyBorder="1" applyAlignment="1">
      <alignment horizontal="right"/>
    </xf>
    <xf numFmtId="0" fontId="1" fillId="2" borderId="7" xfId="0" applyFont="1" applyFill="1" applyBorder="1" applyAlignment="1">
      <alignment horizontal="right"/>
    </xf>
    <xf numFmtId="0" fontId="1" fillId="2" borderId="8" xfId="0" applyFont="1" applyFill="1" applyBorder="1" applyAlignment="1">
      <alignment horizontal="right"/>
    </xf>
    <xf numFmtId="0" fontId="1" fillId="2" borderId="1" xfId="0" applyFont="1" applyFill="1" applyBorder="1" applyAlignment="1">
      <alignment horizontal="right"/>
    </xf>
    <xf numFmtId="0" fontId="1" fillId="2" borderId="2" xfId="0" applyFont="1" applyFill="1" applyBorder="1" applyAlignment="1">
      <alignment horizontal="right"/>
    </xf>
    <xf numFmtId="0" fontId="1" fillId="2" borderId="3" xfId="0" applyFont="1" applyFill="1" applyBorder="1" applyAlignment="1">
      <alignment horizontal="right"/>
    </xf>
    <xf numFmtId="0" fontId="14" fillId="3" borderId="1" xfId="0" applyFont="1" applyFill="1" applyBorder="1" applyAlignment="1">
      <alignment horizontal="left" vertical="top" wrapText="1"/>
    </xf>
    <xf numFmtId="0" fontId="14" fillId="3" borderId="2" xfId="0" applyFont="1" applyFill="1" applyBorder="1" applyAlignment="1">
      <alignment horizontal="left" vertical="top" wrapText="1"/>
    </xf>
    <xf numFmtId="0" fontId="14" fillId="3" borderId="3" xfId="0" applyFont="1" applyFill="1" applyBorder="1" applyAlignment="1">
      <alignment horizontal="left" vertical="top" wrapText="1"/>
    </xf>
    <xf numFmtId="0" fontId="14" fillId="3" borderId="4" xfId="0" applyFont="1" applyFill="1" applyBorder="1" applyAlignment="1">
      <alignment horizontal="left" vertical="top" wrapText="1"/>
    </xf>
    <xf numFmtId="0" fontId="14" fillId="3" borderId="0" xfId="0" applyFont="1" applyFill="1" applyAlignment="1">
      <alignment horizontal="left" vertical="top" wrapText="1"/>
    </xf>
    <xf numFmtId="0" fontId="14" fillId="3" borderId="5" xfId="0" applyFont="1" applyFill="1" applyBorder="1" applyAlignment="1">
      <alignment horizontal="left" vertical="top" wrapText="1"/>
    </xf>
    <xf numFmtId="0" fontId="14" fillId="3" borderId="21" xfId="0" applyFont="1" applyFill="1" applyBorder="1" applyAlignment="1">
      <alignment horizontal="left" vertical="top" wrapText="1"/>
    </xf>
    <xf numFmtId="0" fontId="14" fillId="3" borderId="13" xfId="0" applyFont="1" applyFill="1" applyBorder="1" applyAlignment="1">
      <alignment horizontal="left" vertical="top" wrapText="1"/>
    </xf>
    <xf numFmtId="0" fontId="14" fillId="3" borderId="14" xfId="0" applyFont="1" applyFill="1" applyBorder="1" applyAlignment="1">
      <alignment horizontal="left" vertical="top" wrapText="1"/>
    </xf>
    <xf numFmtId="0" fontId="10" fillId="0" borderId="6" xfId="0" applyFont="1" applyBorder="1" applyAlignment="1">
      <alignment horizontal="center" vertical="center" wrapText="1"/>
    </xf>
    <xf numFmtId="0" fontId="10" fillId="0" borderId="7" xfId="0" applyFont="1" applyBorder="1" applyAlignment="1">
      <alignment horizontal="center" vertical="center" wrapText="1"/>
    </xf>
    <xf numFmtId="0" fontId="10" fillId="0" borderId="8" xfId="0" applyFont="1" applyBorder="1" applyAlignment="1">
      <alignment horizontal="center" vertical="center" wrapText="1"/>
    </xf>
    <xf numFmtId="0" fontId="8" fillId="8" borderId="11" xfId="0" applyFont="1" applyFill="1" applyBorder="1" applyAlignment="1">
      <alignment horizontal="center" vertical="center" wrapText="1"/>
    </xf>
    <xf numFmtId="0" fontId="8" fillId="8" borderId="28" xfId="0" applyFont="1" applyFill="1" applyBorder="1" applyAlignment="1">
      <alignment horizontal="center" vertical="center" wrapText="1"/>
    </xf>
    <xf numFmtId="0" fontId="14" fillId="3" borderId="26" xfId="0" applyFont="1" applyFill="1" applyBorder="1" applyAlignment="1">
      <alignment horizontal="center" vertical="center"/>
    </xf>
    <xf numFmtId="0" fontId="14" fillId="3" borderId="19" xfId="0" applyFont="1" applyFill="1" applyBorder="1" applyAlignment="1">
      <alignment horizontal="center" vertical="center"/>
    </xf>
    <xf numFmtId="0" fontId="14" fillId="3" borderId="34" xfId="0" applyFont="1" applyFill="1" applyBorder="1" applyAlignment="1">
      <alignment horizontal="center" vertical="center"/>
    </xf>
    <xf numFmtId="0" fontId="14" fillId="3" borderId="35" xfId="0" applyFont="1" applyFill="1" applyBorder="1" applyAlignment="1">
      <alignment horizontal="center" vertical="center"/>
    </xf>
    <xf numFmtId="0" fontId="14" fillId="3" borderId="26" xfId="0" applyFont="1" applyFill="1" applyBorder="1" applyAlignment="1">
      <alignment horizontal="center" vertical="top" wrapText="1"/>
    </xf>
    <xf numFmtId="0" fontId="14" fillId="3" borderId="19" xfId="0" applyFont="1" applyFill="1" applyBorder="1" applyAlignment="1">
      <alignment horizontal="center" vertical="top" wrapText="1"/>
    </xf>
    <xf numFmtId="0" fontId="14" fillId="0" borderId="19" xfId="0" applyFont="1" applyBorder="1" applyAlignment="1">
      <alignment horizontal="center" vertical="center"/>
    </xf>
    <xf numFmtId="0" fontId="14" fillId="3" borderId="27" xfId="0" applyFont="1" applyFill="1" applyBorder="1" applyAlignment="1">
      <alignment horizontal="center" vertical="center" wrapText="1"/>
    </xf>
    <xf numFmtId="0" fontId="14" fillId="3" borderId="30" xfId="0" applyFont="1" applyFill="1" applyBorder="1" applyAlignment="1">
      <alignment horizontal="center" vertical="center" wrapText="1"/>
    </xf>
    <xf numFmtId="0" fontId="16" fillId="8" borderId="34" xfId="0" applyFont="1" applyFill="1" applyBorder="1" applyAlignment="1">
      <alignment horizontal="center" vertical="center" wrapText="1"/>
    </xf>
    <xf numFmtId="0" fontId="16" fillId="8" borderId="26" xfId="0" applyFont="1" applyFill="1" applyBorder="1" applyAlignment="1">
      <alignment horizontal="center" vertical="center" wrapText="1"/>
    </xf>
    <xf numFmtId="0" fontId="16" fillId="8" borderId="27" xfId="0" applyFont="1" applyFill="1" applyBorder="1" applyAlignment="1">
      <alignment horizontal="center" vertical="center" wrapText="1"/>
    </xf>
    <xf numFmtId="0" fontId="16" fillId="8" borderId="35" xfId="0" applyFont="1" applyFill="1" applyBorder="1" applyAlignment="1">
      <alignment horizontal="center" vertical="center" wrapText="1"/>
    </xf>
    <xf numFmtId="0" fontId="16" fillId="8" borderId="19" xfId="0" applyFont="1" applyFill="1" applyBorder="1" applyAlignment="1">
      <alignment horizontal="center" vertical="center" wrapText="1"/>
    </xf>
    <xf numFmtId="0" fontId="16" fillId="8" borderId="30" xfId="0" applyFont="1" applyFill="1" applyBorder="1" applyAlignment="1">
      <alignment horizontal="center" vertical="center" wrapText="1"/>
    </xf>
    <xf numFmtId="0" fontId="16" fillId="8" borderId="44" xfId="0" applyFont="1" applyFill="1" applyBorder="1" applyAlignment="1">
      <alignment horizontal="center" vertical="center" wrapText="1"/>
    </xf>
    <xf numFmtId="0" fontId="16" fillId="8" borderId="45" xfId="0" applyFont="1" applyFill="1" applyBorder="1" applyAlignment="1">
      <alignment horizontal="center" vertical="center" wrapText="1"/>
    </xf>
    <xf numFmtId="0" fontId="16" fillId="8" borderId="46" xfId="0" applyFont="1" applyFill="1" applyBorder="1" applyAlignment="1">
      <alignment horizontal="center" vertical="center" wrapText="1"/>
    </xf>
    <xf numFmtId="0" fontId="10" fillId="0" borderId="6" xfId="0" applyFont="1" applyBorder="1" applyAlignment="1">
      <alignment horizontal="left" vertical="center" wrapText="1"/>
    </xf>
    <xf numFmtId="0" fontId="10" fillId="0" borderId="8" xfId="0" applyFont="1" applyBorder="1" applyAlignment="1">
      <alignment horizontal="left" vertical="center" wrapText="1"/>
    </xf>
    <xf numFmtId="0" fontId="8" fillId="8" borderId="1" xfId="0" applyFont="1" applyFill="1" applyBorder="1" applyAlignment="1">
      <alignment horizontal="center" vertical="center" wrapText="1"/>
    </xf>
    <xf numFmtId="0" fontId="8" fillId="8" borderId="4" xfId="0" applyFont="1" applyFill="1" applyBorder="1" applyAlignment="1">
      <alignment horizontal="center" vertical="center" wrapText="1"/>
    </xf>
    <xf numFmtId="0" fontId="1" fillId="2" borderId="1" xfId="0" applyFont="1" applyFill="1" applyBorder="1" applyAlignment="1">
      <alignment horizontal="right" vertical="center"/>
    </xf>
    <xf numFmtId="0" fontId="1" fillId="2" borderId="2" xfId="0" applyFont="1" applyFill="1" applyBorder="1" applyAlignment="1">
      <alignment horizontal="right" vertical="center"/>
    </xf>
    <xf numFmtId="0" fontId="1" fillId="2" borderId="3" xfId="0" applyFont="1" applyFill="1" applyBorder="1" applyAlignment="1">
      <alignment horizontal="right" vertical="center"/>
    </xf>
    <xf numFmtId="0" fontId="7" fillId="3" borderId="16" xfId="0" applyFont="1" applyFill="1" applyBorder="1" applyAlignment="1">
      <alignment horizontal="center" vertical="center" wrapText="1"/>
    </xf>
    <xf numFmtId="0" fontId="7" fillId="3" borderId="18" xfId="0" applyFont="1" applyFill="1" applyBorder="1" applyAlignment="1">
      <alignment horizontal="center" vertical="center" wrapText="1"/>
    </xf>
    <xf numFmtId="0" fontId="7" fillId="0" borderId="18" xfId="0" applyFont="1" applyBorder="1" applyAlignment="1">
      <alignment horizontal="center" vertical="center" wrapText="1"/>
    </xf>
    <xf numFmtId="0" fontId="7" fillId="0" borderId="19" xfId="0" applyFont="1" applyBorder="1" applyAlignment="1">
      <alignment horizontal="center" vertical="center" wrapText="1"/>
    </xf>
    <xf numFmtId="0" fontId="7" fillId="3" borderId="26" xfId="0" applyFont="1" applyFill="1" applyBorder="1" applyAlignment="1">
      <alignment horizontal="center" vertical="center" wrapText="1"/>
    </xf>
    <xf numFmtId="0" fontId="7" fillId="3" borderId="19" xfId="0" applyFont="1" applyFill="1" applyBorder="1" applyAlignment="1">
      <alignment horizontal="center" vertical="center" wrapText="1"/>
    </xf>
    <xf numFmtId="0" fontId="11" fillId="3" borderId="26" xfId="0" applyFont="1" applyFill="1" applyBorder="1" applyAlignment="1">
      <alignment horizontal="center" vertical="center"/>
    </xf>
    <xf numFmtId="0" fontId="11" fillId="3" borderId="19" xfId="0" applyFont="1" applyFill="1" applyBorder="1" applyAlignment="1">
      <alignment horizontal="center" vertical="center"/>
    </xf>
    <xf numFmtId="0" fontId="12" fillId="0" borderId="29" xfId="0" applyFont="1" applyBorder="1" applyAlignment="1">
      <alignment horizontal="center" vertical="center"/>
    </xf>
    <xf numFmtId="0" fontId="12" fillId="3" borderId="19" xfId="0" applyFont="1" applyFill="1" applyBorder="1" applyAlignment="1">
      <alignment horizontal="center" vertical="center"/>
    </xf>
    <xf numFmtId="0" fontId="11" fillId="3" borderId="30" xfId="0" applyFont="1" applyFill="1" applyBorder="1" applyAlignment="1">
      <alignment horizontal="center" vertical="center"/>
    </xf>
    <xf numFmtId="0" fontId="11" fillId="3" borderId="27" xfId="0" applyFont="1" applyFill="1" applyBorder="1" applyAlignment="1">
      <alignment horizontal="center" vertical="center"/>
    </xf>
    <xf numFmtId="0" fontId="11" fillId="3" borderId="25" xfId="0" applyFont="1" applyFill="1" applyBorder="1" applyAlignment="1">
      <alignment horizontal="center" vertical="top" wrapText="1"/>
    </xf>
    <xf numFmtId="0" fontId="11" fillId="3" borderId="29" xfId="0" applyFont="1" applyFill="1" applyBorder="1" applyAlignment="1">
      <alignment horizontal="center" vertical="top" wrapText="1"/>
    </xf>
    <xf numFmtId="0" fontId="18" fillId="8" borderId="25" xfId="0" applyFont="1" applyFill="1" applyBorder="1" applyAlignment="1">
      <alignment horizontal="center" vertical="center" wrapText="1"/>
    </xf>
    <xf numFmtId="0" fontId="16" fillId="8" borderId="29" xfId="0" applyFont="1" applyFill="1" applyBorder="1" applyAlignment="1">
      <alignment horizontal="center" vertical="center" wrapText="1"/>
    </xf>
    <xf numFmtId="0" fontId="16" fillId="8" borderId="31" xfId="0" applyFont="1" applyFill="1" applyBorder="1" applyAlignment="1">
      <alignment horizontal="center" vertical="center" wrapText="1"/>
    </xf>
    <xf numFmtId="0" fontId="16" fillId="8" borderId="32" xfId="0" applyFont="1" applyFill="1" applyBorder="1" applyAlignment="1">
      <alignment horizontal="center" vertical="center" wrapText="1"/>
    </xf>
    <xf numFmtId="0" fontId="16" fillId="8" borderId="33" xfId="0" applyFont="1" applyFill="1" applyBorder="1" applyAlignment="1">
      <alignment horizontal="center" vertical="center" wrapText="1"/>
    </xf>
    <xf numFmtId="0" fontId="10" fillId="0" borderId="6" xfId="0" applyFont="1" applyBorder="1" applyAlignment="1">
      <alignment horizontal="left" vertical="top" wrapText="1"/>
    </xf>
    <xf numFmtId="0" fontId="10" fillId="0" borderId="7" xfId="0" applyFont="1" applyBorder="1" applyAlignment="1">
      <alignment horizontal="left" vertical="top" wrapText="1"/>
    </xf>
    <xf numFmtId="0" fontId="10" fillId="0" borderId="8" xfId="0" applyFont="1" applyBorder="1" applyAlignment="1">
      <alignment horizontal="left" vertical="top" wrapText="1"/>
    </xf>
    <xf numFmtId="0" fontId="0" fillId="0" borderId="6" xfId="0" applyBorder="1" applyAlignment="1">
      <alignment horizontal="center" wrapText="1"/>
    </xf>
    <xf numFmtId="0" fontId="0" fillId="0" borderId="7" xfId="0" applyBorder="1" applyAlignment="1">
      <alignment horizontal="center" wrapText="1"/>
    </xf>
    <xf numFmtId="0" fontId="0" fillId="0" borderId="8" xfId="0" applyBorder="1" applyAlignment="1">
      <alignment horizontal="center" wrapText="1"/>
    </xf>
    <xf numFmtId="0" fontId="8" fillId="8" borderId="15" xfId="0" applyFont="1" applyFill="1" applyBorder="1" applyAlignment="1">
      <alignment horizontal="center" vertical="center" wrapText="1"/>
    </xf>
    <xf numFmtId="0" fontId="1" fillId="8" borderId="6" xfId="0" applyFont="1" applyFill="1" applyBorder="1" applyAlignment="1">
      <alignment horizontal="center" vertical="center"/>
    </xf>
    <xf numFmtId="0" fontId="1" fillId="8" borderId="7" xfId="0" applyFont="1" applyFill="1" applyBorder="1" applyAlignment="1">
      <alignment horizontal="center" vertical="center"/>
    </xf>
    <xf numFmtId="0" fontId="1" fillId="8" borderId="8" xfId="0" applyFont="1" applyFill="1" applyBorder="1" applyAlignment="1">
      <alignment horizontal="center" vertical="center"/>
    </xf>
    <xf numFmtId="0" fontId="8" fillId="8" borderId="3" xfId="0" applyFont="1" applyFill="1" applyBorder="1" applyAlignment="1">
      <alignment horizontal="center" vertical="center" wrapText="1"/>
    </xf>
    <xf numFmtId="0" fontId="8" fillId="8" borderId="13" xfId="0" applyFont="1" applyFill="1" applyBorder="1" applyAlignment="1">
      <alignment horizontal="center" vertical="center" wrapText="1"/>
    </xf>
  </cellXfs>
  <cellStyles count="8">
    <cellStyle name="Millares" xfId="4" builtinId="3"/>
    <cellStyle name="Normal" xfId="0" builtinId="0"/>
    <cellStyle name="Normal - Style1 2" xfId="7" xr:uid="{00000000-0005-0000-0000-000002000000}"/>
    <cellStyle name="Normal 2" xfId="2" xr:uid="{00000000-0005-0000-0000-000003000000}"/>
    <cellStyle name="Normal 3" xfId="1" xr:uid="{00000000-0005-0000-0000-000004000000}"/>
    <cellStyle name="Normal 3 2" xfId="6" xr:uid="{00000000-0005-0000-0000-000005000000}"/>
    <cellStyle name="Normal 6" xfId="3" xr:uid="{00000000-0005-0000-0000-000006000000}"/>
    <cellStyle name="Normal_CADENA DE VALOR - CATÁLOGO DE PROCESOS" xfId="5" xr:uid="{00000000-0005-0000-0000-000007000000}"/>
  </cellStyles>
  <dxfs count="10">
    <dxf>
      <fill>
        <patternFill>
          <bgColor rgb="FF92D050"/>
        </patternFill>
      </fill>
    </dxf>
    <dxf>
      <fill>
        <patternFill>
          <bgColor rgb="FFFFFF00"/>
        </patternFill>
      </fill>
    </dxf>
    <dxf>
      <fill>
        <patternFill>
          <bgColor rgb="FFFFC000"/>
        </patternFill>
      </fill>
    </dxf>
    <dxf>
      <font>
        <color theme="0"/>
      </font>
      <fill>
        <patternFill>
          <bgColor rgb="FFFF0000"/>
        </patternFill>
      </fill>
    </dxf>
    <dxf>
      <fill>
        <patternFill>
          <bgColor rgb="FFFF0000"/>
        </patternFill>
      </fill>
    </dxf>
    <dxf>
      <fill>
        <patternFill>
          <bgColor rgb="FFFFC000"/>
        </patternFill>
      </fill>
    </dxf>
    <dxf>
      <fill>
        <patternFill>
          <bgColor rgb="FFFFFF00"/>
        </patternFill>
      </fill>
    </dxf>
    <dxf>
      <fill>
        <patternFill>
          <bgColor rgb="FF92D050"/>
        </patternFill>
      </fill>
    </dxf>
    <dxf>
      <fill>
        <patternFill>
          <bgColor rgb="FF00B050"/>
        </patternFill>
      </fill>
    </dxf>
    <dxf>
      <fill>
        <patternFill>
          <bgColor rgb="FFFF0000"/>
        </patternFill>
      </fill>
    </dxf>
  </dxfs>
  <tableStyles count="0" defaultTableStyle="TableStyleMedium2" defaultPivotStyle="PivotStyleLight16"/>
  <colors>
    <mruColors>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9</xdr:col>
      <xdr:colOff>9524</xdr:colOff>
      <xdr:row>41</xdr:row>
      <xdr:rowOff>0</xdr:rowOff>
    </xdr:from>
    <xdr:ext cx="2972732" cy="873073"/>
    <xdr:pic>
      <xdr:nvPicPr>
        <xdr:cNvPr id="2" name="Imagen 1">
          <a:extLst>
            <a:ext uri="{FF2B5EF4-FFF2-40B4-BE49-F238E27FC236}">
              <a16:creationId xmlns:a16="http://schemas.microsoft.com/office/drawing/2014/main" id="{B65E6E0D-DA6B-4768-B7C4-52CE91FA9698}"/>
            </a:ext>
          </a:extLst>
        </xdr:cNvPr>
        <xdr:cNvPicPr>
          <a:picLocks noChangeAspect="1"/>
        </xdr:cNvPicPr>
      </xdr:nvPicPr>
      <xdr:blipFill rotWithShape="1">
        <a:blip xmlns:r="http://schemas.openxmlformats.org/officeDocument/2006/relationships" r:embed="rId1"/>
        <a:srcRect l="29067" t="48054" r="30299" b="30719"/>
        <a:stretch/>
      </xdr:blipFill>
      <xdr:spPr>
        <a:xfrm>
          <a:off x="6867524" y="8432851"/>
          <a:ext cx="2972732" cy="873073"/>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2392968</xdr:colOff>
      <xdr:row>4</xdr:row>
      <xdr:rowOff>10582</xdr:rowOff>
    </xdr:to>
    <xdr:pic>
      <xdr:nvPicPr>
        <xdr:cNvPr id="2" name="Imagen 1">
          <a:extLst>
            <a:ext uri="{FF2B5EF4-FFF2-40B4-BE49-F238E27FC236}">
              <a16:creationId xmlns:a16="http://schemas.microsoft.com/office/drawing/2014/main" id="{0B493B27-7501-35A2-A077-CB5D62A211B2}"/>
            </a:ext>
          </a:extLst>
        </xdr:cNvPr>
        <xdr:cNvPicPr>
          <a:picLocks noChangeAspect="1"/>
        </xdr:cNvPicPr>
      </xdr:nvPicPr>
      <xdr:blipFill>
        <a:blip xmlns:r="http://schemas.openxmlformats.org/officeDocument/2006/relationships" r:embed="rId1"/>
        <a:stretch>
          <a:fillRect/>
        </a:stretch>
      </xdr:blipFill>
      <xdr:spPr>
        <a:xfrm>
          <a:off x="0" y="0"/>
          <a:ext cx="2773968" cy="2137832"/>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2385786</xdr:colOff>
      <xdr:row>2</xdr:row>
      <xdr:rowOff>244929</xdr:rowOff>
    </xdr:to>
    <xdr:pic>
      <xdr:nvPicPr>
        <xdr:cNvPr id="3" name="Imagen 2">
          <a:extLst>
            <a:ext uri="{FF2B5EF4-FFF2-40B4-BE49-F238E27FC236}">
              <a16:creationId xmlns:a16="http://schemas.microsoft.com/office/drawing/2014/main" id="{0B493B27-7501-35A2-A077-CB5D62A211B2}"/>
            </a:ext>
          </a:extLst>
        </xdr:cNvPr>
        <xdr:cNvPicPr>
          <a:picLocks noChangeAspect="1"/>
        </xdr:cNvPicPr>
      </xdr:nvPicPr>
      <xdr:blipFill>
        <a:blip xmlns:r="http://schemas.openxmlformats.org/officeDocument/2006/relationships" r:embed="rId1"/>
        <a:stretch>
          <a:fillRect/>
        </a:stretch>
      </xdr:blipFill>
      <xdr:spPr>
        <a:xfrm>
          <a:off x="0" y="0"/>
          <a:ext cx="2385786" cy="734786"/>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G66"/>
  <sheetViews>
    <sheetView showGridLines="0" topLeftCell="A9" workbookViewId="0">
      <selection activeCell="B15" sqref="B15"/>
    </sheetView>
  </sheetViews>
  <sheetFormatPr baseColWidth="10" defaultRowHeight="14.5" x14ac:dyDescent="0.35"/>
  <cols>
    <col min="2" max="2" width="55.54296875" bestFit="1" customWidth="1"/>
    <col min="3" max="3" width="18.453125" style="61" bestFit="1" customWidth="1"/>
    <col min="4" max="4" width="33.453125" customWidth="1"/>
    <col min="6" max="6" width="17.453125" bestFit="1" customWidth="1"/>
    <col min="7" max="7" width="16.453125" bestFit="1" customWidth="1"/>
  </cols>
  <sheetData>
    <row r="2" spans="1:5" ht="15" thickBot="1" x14ac:dyDescent="0.4">
      <c r="C2" s="85"/>
    </row>
    <row r="3" spans="1:5" ht="15" thickBot="1" x14ac:dyDescent="0.4">
      <c r="B3" t="s">
        <v>100</v>
      </c>
      <c r="C3" s="84">
        <v>116704559235</v>
      </c>
      <c r="D3" s="71" t="s">
        <v>128</v>
      </c>
    </row>
    <row r="5" spans="1:5" x14ac:dyDescent="0.35">
      <c r="A5" s="83" t="s">
        <v>116</v>
      </c>
      <c r="B5" s="82" t="s">
        <v>83</v>
      </c>
    </row>
    <row r="6" spans="1:5" x14ac:dyDescent="0.35">
      <c r="A6" s="79">
        <v>1</v>
      </c>
      <c r="B6" s="78" t="s">
        <v>82</v>
      </c>
    </row>
    <row r="7" spans="1:5" x14ac:dyDescent="0.35">
      <c r="A7" s="79">
        <v>2</v>
      </c>
      <c r="B7" s="78" t="s">
        <v>81</v>
      </c>
    </row>
    <row r="8" spans="1:5" x14ac:dyDescent="0.35">
      <c r="A8" s="79">
        <v>3</v>
      </c>
      <c r="B8" s="78" t="s">
        <v>80</v>
      </c>
    </row>
    <row r="9" spans="1:5" x14ac:dyDescent="0.35">
      <c r="A9" s="81">
        <v>4</v>
      </c>
      <c r="B9" s="80" t="s">
        <v>79</v>
      </c>
    </row>
    <row r="10" spans="1:5" x14ac:dyDescent="0.35">
      <c r="A10" s="79">
        <v>5</v>
      </c>
      <c r="B10" s="78" t="s">
        <v>78</v>
      </c>
    </row>
    <row r="13" spans="1:5" x14ac:dyDescent="0.35">
      <c r="B13" t="s">
        <v>115</v>
      </c>
    </row>
    <row r="14" spans="1:5" x14ac:dyDescent="0.35">
      <c r="B14" t="s">
        <v>52</v>
      </c>
      <c r="C14" s="61">
        <v>0</v>
      </c>
      <c r="D14" s="61">
        <v>1</v>
      </c>
      <c r="E14" s="61">
        <v>1</v>
      </c>
    </row>
    <row r="15" spans="1:5" x14ac:dyDescent="0.35">
      <c r="B15" t="s">
        <v>54</v>
      </c>
      <c r="C15" s="61">
        <f>D14</f>
        <v>1</v>
      </c>
      <c r="D15" s="61">
        <v>2</v>
      </c>
      <c r="E15" s="61">
        <v>2</v>
      </c>
    </row>
    <row r="16" spans="1:5" x14ac:dyDescent="0.35">
      <c r="B16" t="s">
        <v>59</v>
      </c>
      <c r="C16" s="61">
        <f>D15</f>
        <v>2</v>
      </c>
      <c r="D16" s="61">
        <v>3</v>
      </c>
      <c r="E16" s="61">
        <v>3</v>
      </c>
    </row>
    <row r="17" spans="2:5" x14ac:dyDescent="0.35">
      <c r="B17" t="s">
        <v>51</v>
      </c>
      <c r="C17" s="61">
        <f>D16</f>
        <v>3</v>
      </c>
      <c r="D17" s="61">
        <v>4</v>
      </c>
      <c r="E17" s="61">
        <v>4</v>
      </c>
    </row>
    <row r="18" spans="2:5" x14ac:dyDescent="0.35">
      <c r="B18" t="s">
        <v>53</v>
      </c>
      <c r="C18" s="61">
        <f>D17</f>
        <v>4</v>
      </c>
      <c r="D18" s="61">
        <v>99</v>
      </c>
      <c r="E18" s="61">
        <v>5</v>
      </c>
    </row>
    <row r="21" spans="2:5" x14ac:dyDescent="0.35">
      <c r="B21" t="s">
        <v>114</v>
      </c>
      <c r="D21" s="71" t="s">
        <v>113</v>
      </c>
    </row>
    <row r="22" spans="2:5" x14ac:dyDescent="0.35">
      <c r="B22" t="s">
        <v>123</v>
      </c>
      <c r="C22" s="61">
        <v>1</v>
      </c>
      <c r="D22" t="s">
        <v>112</v>
      </c>
      <c r="E22" t="s">
        <v>111</v>
      </c>
    </row>
    <row r="23" spans="2:5" x14ac:dyDescent="0.35">
      <c r="B23" t="s">
        <v>124</v>
      </c>
      <c r="C23" s="61">
        <v>2</v>
      </c>
      <c r="D23" t="s">
        <v>110</v>
      </c>
      <c r="E23" t="s">
        <v>109</v>
      </c>
    </row>
    <row r="24" spans="2:5" x14ac:dyDescent="0.35">
      <c r="B24" t="s">
        <v>125</v>
      </c>
      <c r="C24" s="61">
        <v>3</v>
      </c>
      <c r="D24" t="s">
        <v>108</v>
      </c>
      <c r="E24" t="s">
        <v>107</v>
      </c>
    </row>
    <row r="25" spans="2:5" x14ac:dyDescent="0.35">
      <c r="B25" t="s">
        <v>126</v>
      </c>
      <c r="C25" s="61">
        <v>4</v>
      </c>
      <c r="D25" t="s">
        <v>106</v>
      </c>
      <c r="E25" t="s">
        <v>105</v>
      </c>
    </row>
    <row r="26" spans="2:5" x14ac:dyDescent="0.35">
      <c r="B26" t="s">
        <v>127</v>
      </c>
      <c r="C26" s="61">
        <v>5</v>
      </c>
      <c r="D26" t="s">
        <v>104</v>
      </c>
      <c r="E26" t="s">
        <v>103</v>
      </c>
    </row>
    <row r="29" spans="2:5" x14ac:dyDescent="0.35">
      <c r="B29" s="71" t="s">
        <v>102</v>
      </c>
    </row>
    <row r="30" spans="2:5" x14ac:dyDescent="0.35">
      <c r="B30" t="s">
        <v>50</v>
      </c>
      <c r="C30" s="61">
        <v>1</v>
      </c>
    </row>
    <row r="31" spans="2:5" x14ac:dyDescent="0.35">
      <c r="B31" t="s">
        <v>57</v>
      </c>
      <c r="C31" s="61">
        <v>2</v>
      </c>
    </row>
    <row r="32" spans="2:5" x14ac:dyDescent="0.35">
      <c r="B32" t="s">
        <v>55</v>
      </c>
      <c r="C32" s="61">
        <v>3</v>
      </c>
    </row>
    <row r="33" spans="2:7" x14ac:dyDescent="0.35">
      <c r="B33" t="s">
        <v>56</v>
      </c>
      <c r="C33" s="61">
        <v>4</v>
      </c>
    </row>
    <row r="34" spans="2:7" x14ac:dyDescent="0.35">
      <c r="B34" t="s">
        <v>58</v>
      </c>
      <c r="C34" s="61">
        <v>5</v>
      </c>
    </row>
    <row r="36" spans="2:7" x14ac:dyDescent="0.35">
      <c r="B36" t="s">
        <v>101</v>
      </c>
    </row>
    <row r="37" spans="2:7" x14ac:dyDescent="0.35">
      <c r="B37" t="s">
        <v>117</v>
      </c>
      <c r="C37" s="61">
        <v>1</v>
      </c>
    </row>
    <row r="38" spans="2:7" x14ac:dyDescent="0.35">
      <c r="B38" t="s">
        <v>118</v>
      </c>
      <c r="C38" s="61">
        <v>2</v>
      </c>
    </row>
    <row r="39" spans="2:7" x14ac:dyDescent="0.35">
      <c r="B39" t="s">
        <v>119</v>
      </c>
      <c r="C39" s="61">
        <v>3</v>
      </c>
    </row>
    <row r="40" spans="2:7" x14ac:dyDescent="0.35">
      <c r="B40" t="s">
        <v>120</v>
      </c>
      <c r="C40" s="61">
        <v>4</v>
      </c>
    </row>
    <row r="41" spans="2:7" x14ac:dyDescent="0.35">
      <c r="B41" t="s">
        <v>121</v>
      </c>
      <c r="C41" s="61">
        <v>5</v>
      </c>
    </row>
    <row r="45" spans="2:7" x14ac:dyDescent="0.35">
      <c r="B45" t="s">
        <v>65</v>
      </c>
    </row>
    <row r="46" spans="2:7" x14ac:dyDescent="0.35">
      <c r="B46" s="76" t="s">
        <v>12</v>
      </c>
      <c r="C46" s="77" t="s">
        <v>93</v>
      </c>
      <c r="D46" s="76" t="s">
        <v>99</v>
      </c>
      <c r="E46">
        <v>0</v>
      </c>
      <c r="F46">
        <v>1.5</v>
      </c>
      <c r="G46" t="s">
        <v>12</v>
      </c>
    </row>
    <row r="47" spans="2:7" x14ac:dyDescent="0.35">
      <c r="B47" s="76" t="s">
        <v>92</v>
      </c>
      <c r="C47" s="77" t="s">
        <v>90</v>
      </c>
      <c r="D47" s="76" t="s">
        <v>99</v>
      </c>
      <c r="E47">
        <f>F46</f>
        <v>1.5</v>
      </c>
      <c r="F47">
        <v>2</v>
      </c>
      <c r="G47" t="s">
        <v>92</v>
      </c>
    </row>
    <row r="48" spans="2:7" x14ac:dyDescent="0.35">
      <c r="B48" s="60" t="s">
        <v>1</v>
      </c>
      <c r="C48" s="75" t="s">
        <v>88</v>
      </c>
      <c r="D48" s="60" t="s">
        <v>98</v>
      </c>
      <c r="E48">
        <f>F47</f>
        <v>2</v>
      </c>
      <c r="F48">
        <v>3</v>
      </c>
      <c r="G48" t="s">
        <v>1</v>
      </c>
    </row>
    <row r="49" spans="2:7" x14ac:dyDescent="0.35">
      <c r="B49" s="59" t="s">
        <v>0</v>
      </c>
      <c r="C49" s="74" t="s">
        <v>86</v>
      </c>
      <c r="D49" s="59" t="s">
        <v>97</v>
      </c>
      <c r="E49">
        <f>F48</f>
        <v>3</v>
      </c>
      <c r="F49">
        <v>4</v>
      </c>
      <c r="G49" t="s">
        <v>0</v>
      </c>
    </row>
    <row r="50" spans="2:7" x14ac:dyDescent="0.35">
      <c r="B50" s="72" t="s">
        <v>11</v>
      </c>
      <c r="C50" s="73" t="s">
        <v>84</v>
      </c>
      <c r="D50" s="72" t="s">
        <v>96</v>
      </c>
      <c r="E50">
        <v>4</v>
      </c>
      <c r="F50">
        <v>5</v>
      </c>
      <c r="G50" t="s">
        <v>11</v>
      </c>
    </row>
    <row r="53" spans="2:7" x14ac:dyDescent="0.35">
      <c r="B53" t="s">
        <v>95</v>
      </c>
    </row>
    <row r="54" spans="2:7" x14ac:dyDescent="0.35">
      <c r="B54" s="76" t="s">
        <v>12</v>
      </c>
      <c r="C54" s="77" t="s">
        <v>94</v>
      </c>
      <c r="D54" s="76" t="s">
        <v>93</v>
      </c>
    </row>
    <row r="55" spans="2:7" x14ac:dyDescent="0.35">
      <c r="B55" s="76" t="s">
        <v>92</v>
      </c>
      <c r="C55" s="77" t="s">
        <v>91</v>
      </c>
      <c r="D55" s="76" t="s">
        <v>90</v>
      </c>
    </row>
    <row r="56" spans="2:7" x14ac:dyDescent="0.35">
      <c r="B56" s="60" t="s">
        <v>1</v>
      </c>
      <c r="C56" s="75" t="s">
        <v>89</v>
      </c>
      <c r="D56" s="60" t="s">
        <v>88</v>
      </c>
    </row>
    <row r="57" spans="2:7" ht="16.5" customHeight="1" x14ac:dyDescent="0.35">
      <c r="B57" s="59" t="s">
        <v>0</v>
      </c>
      <c r="C57" s="74" t="s">
        <v>87</v>
      </c>
      <c r="D57" s="59" t="s">
        <v>86</v>
      </c>
    </row>
    <row r="58" spans="2:7" x14ac:dyDescent="0.35">
      <c r="B58" s="72" t="s">
        <v>11</v>
      </c>
      <c r="C58" s="73" t="s">
        <v>85</v>
      </c>
      <c r="D58" s="72" t="s">
        <v>84</v>
      </c>
    </row>
    <row r="61" spans="2:7" x14ac:dyDescent="0.35">
      <c r="B61" t="s">
        <v>83</v>
      </c>
    </row>
    <row r="62" spans="2:7" x14ac:dyDescent="0.35">
      <c r="B62" t="s">
        <v>82</v>
      </c>
      <c r="C62" s="61">
        <v>1</v>
      </c>
    </row>
    <row r="63" spans="2:7" x14ac:dyDescent="0.35">
      <c r="B63" t="s">
        <v>81</v>
      </c>
      <c r="C63" s="61">
        <v>2</v>
      </c>
    </row>
    <row r="64" spans="2:7" x14ac:dyDescent="0.35">
      <c r="B64" t="s">
        <v>80</v>
      </c>
      <c r="C64" s="61">
        <v>3</v>
      </c>
    </row>
    <row r="65" spans="2:3" x14ac:dyDescent="0.35">
      <c r="B65" t="s">
        <v>79</v>
      </c>
      <c r="C65" s="61">
        <v>4</v>
      </c>
    </row>
    <row r="66" spans="2:3" x14ac:dyDescent="0.35">
      <c r="B66" t="s">
        <v>78</v>
      </c>
      <c r="C66" s="61">
        <v>5</v>
      </c>
    </row>
  </sheetData>
  <pageMargins left="0.7" right="0.7" top="0.75" bottom="0.75" header="0.3" footer="0.3"/>
  <pageSetup orientation="portrait" r:id="rId1"/>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76"/>
  <sheetViews>
    <sheetView showGridLines="0" zoomScale="60" zoomScaleNormal="60" zoomScaleSheetLayoutView="28" zoomScalePageLayoutView="125" workbookViewId="0">
      <selection sqref="A1:B3"/>
    </sheetView>
  </sheetViews>
  <sheetFormatPr baseColWidth="10" defaultColWidth="9.1796875" defaultRowHeight="12.5" x14ac:dyDescent="0.25"/>
  <cols>
    <col min="1" max="1" width="5.453125" style="62" customWidth="1"/>
    <col min="2" max="2" width="38.453125" style="63" bestFit="1" customWidth="1"/>
    <col min="3" max="3" width="10.453125" style="62" bestFit="1" customWidth="1"/>
    <col min="4" max="4" width="5.81640625" style="62" customWidth="1"/>
    <col min="5" max="5" width="12.7265625" style="62" bestFit="1" customWidth="1"/>
    <col min="6" max="6" width="6.54296875" style="62" customWidth="1"/>
    <col min="7" max="7" width="8.7265625" style="62" bestFit="1" customWidth="1"/>
    <col min="8" max="8" width="18.7265625" style="62" bestFit="1" customWidth="1"/>
    <col min="9" max="9" width="18.7265625" style="62" customWidth="1"/>
    <col min="10" max="10" width="18.453125" style="62" bestFit="1" customWidth="1"/>
    <col min="11" max="11" width="20" style="62" customWidth="1"/>
    <col min="12" max="13" width="17.81640625" style="62" customWidth="1"/>
    <col min="14" max="14" width="15.453125" style="62" customWidth="1"/>
    <col min="15" max="15" width="19.453125" style="62" bestFit="1" customWidth="1"/>
    <col min="16" max="16" width="18.453125" style="62" customWidth="1"/>
    <col min="17" max="17" width="19.54296875" style="62" customWidth="1"/>
    <col min="18" max="18" width="18.7265625" style="62" bestFit="1" customWidth="1"/>
    <col min="19" max="19" width="15.54296875" style="62" customWidth="1"/>
    <col min="20" max="20" width="16.453125" style="62" customWidth="1"/>
    <col min="21" max="21" width="27.54296875" style="62" customWidth="1"/>
    <col min="22" max="23" width="29.7265625" style="62" customWidth="1"/>
    <col min="24" max="24" width="29.81640625" style="62" customWidth="1"/>
    <col min="25" max="25" width="2.1796875" style="62" customWidth="1"/>
    <col min="26" max="26" width="9.1796875" style="62" hidden="1" customWidth="1"/>
    <col min="27" max="28" width="9.1796875" style="62" customWidth="1"/>
    <col min="29" max="16384" width="9.1796875" style="62"/>
  </cols>
  <sheetData>
    <row r="1" spans="1:24" s="110" customFormat="1" ht="69.75" customHeight="1" thickBot="1" x14ac:dyDescent="0.4">
      <c r="A1" s="161"/>
      <c r="B1" s="162"/>
      <c r="C1" s="170" t="s">
        <v>163</v>
      </c>
      <c r="D1" s="171"/>
      <c r="E1" s="171"/>
      <c r="F1" s="171"/>
      <c r="G1" s="171"/>
      <c r="H1" s="171"/>
      <c r="I1" s="171"/>
      <c r="J1" s="171"/>
      <c r="K1" s="171"/>
      <c r="L1" s="171"/>
      <c r="M1" s="171"/>
      <c r="N1" s="171"/>
      <c r="O1" s="171"/>
      <c r="P1" s="171"/>
      <c r="Q1" s="171"/>
      <c r="R1" s="171"/>
      <c r="S1" s="171"/>
      <c r="T1" s="171"/>
      <c r="U1" s="171"/>
      <c r="V1" s="172"/>
      <c r="W1" s="109" t="s">
        <v>129</v>
      </c>
      <c r="X1" s="109" t="s">
        <v>162</v>
      </c>
    </row>
    <row r="2" spans="1:24" s="110" customFormat="1" ht="38.25" customHeight="1" thickBot="1" x14ac:dyDescent="0.4">
      <c r="A2" s="163"/>
      <c r="B2" s="164"/>
      <c r="C2" s="173"/>
      <c r="D2" s="174"/>
      <c r="E2" s="174"/>
      <c r="F2" s="174"/>
      <c r="G2" s="174"/>
      <c r="H2" s="174"/>
      <c r="I2" s="174"/>
      <c r="J2" s="174"/>
      <c r="K2" s="174"/>
      <c r="L2" s="174"/>
      <c r="M2" s="174"/>
      <c r="N2" s="174"/>
      <c r="O2" s="174"/>
      <c r="P2" s="174"/>
      <c r="Q2" s="174"/>
      <c r="R2" s="174"/>
      <c r="S2" s="174"/>
      <c r="T2" s="174"/>
      <c r="U2" s="174"/>
      <c r="V2" s="175"/>
      <c r="W2" s="109" t="s">
        <v>130</v>
      </c>
      <c r="X2" s="149" t="s">
        <v>164</v>
      </c>
    </row>
    <row r="3" spans="1:24" s="110" customFormat="1" ht="45" customHeight="1" thickBot="1" x14ac:dyDescent="0.4">
      <c r="A3" s="165"/>
      <c r="B3" s="166"/>
      <c r="C3" s="176"/>
      <c r="D3" s="177"/>
      <c r="E3" s="177"/>
      <c r="F3" s="177"/>
      <c r="G3" s="177"/>
      <c r="H3" s="177"/>
      <c r="I3" s="177"/>
      <c r="J3" s="177"/>
      <c r="K3" s="177"/>
      <c r="L3" s="177"/>
      <c r="M3" s="177"/>
      <c r="N3" s="177"/>
      <c r="O3" s="177"/>
      <c r="P3" s="177"/>
      <c r="Q3" s="177"/>
      <c r="R3" s="177"/>
      <c r="S3" s="177"/>
      <c r="T3" s="177"/>
      <c r="U3" s="177"/>
      <c r="V3" s="178"/>
      <c r="W3" s="109" t="s">
        <v>131</v>
      </c>
      <c r="X3" s="111">
        <v>45712</v>
      </c>
    </row>
    <row r="4" spans="1:24" s="110" customFormat="1" ht="15" customHeight="1" thickBot="1" x14ac:dyDescent="0.4">
      <c r="A4" s="167" t="s">
        <v>160</v>
      </c>
      <c r="B4" s="168"/>
      <c r="C4" s="168"/>
      <c r="D4" s="168"/>
      <c r="E4" s="168"/>
      <c r="F4" s="168"/>
      <c r="G4" s="168"/>
      <c r="H4" s="168"/>
      <c r="I4" s="168"/>
      <c r="J4" s="168"/>
      <c r="K4" s="168"/>
      <c r="L4" s="168"/>
      <c r="M4" s="168"/>
      <c r="N4" s="168"/>
      <c r="O4" s="168"/>
      <c r="P4" s="168"/>
      <c r="Q4" s="168"/>
      <c r="R4" s="168"/>
      <c r="S4" s="168"/>
      <c r="T4" s="168"/>
      <c r="U4" s="168"/>
      <c r="V4" s="168"/>
      <c r="W4" s="168"/>
      <c r="X4" s="169"/>
    </row>
    <row r="5" spans="1:24" s="110" customFormat="1" ht="15" customHeight="1" thickBot="1" x14ac:dyDescent="0.4">
      <c r="A5" s="167" t="s">
        <v>161</v>
      </c>
      <c r="B5" s="168"/>
      <c r="C5" s="168"/>
      <c r="D5" s="168"/>
      <c r="E5" s="168"/>
      <c r="F5" s="168"/>
      <c r="G5" s="168"/>
      <c r="H5" s="168"/>
      <c r="I5" s="168"/>
      <c r="J5" s="168"/>
      <c r="K5" s="168"/>
      <c r="L5" s="168"/>
      <c r="M5" s="168"/>
      <c r="N5" s="168"/>
      <c r="O5" s="168"/>
      <c r="P5" s="168"/>
      <c r="Q5" s="168"/>
      <c r="R5" s="168"/>
      <c r="S5" s="168"/>
      <c r="T5" s="168"/>
      <c r="U5" s="168"/>
      <c r="V5" s="168"/>
      <c r="W5" s="168"/>
      <c r="X5" s="169"/>
    </row>
    <row r="6" spans="1:24" s="1" customFormat="1" ht="31.5" customHeight="1" thickBot="1" x14ac:dyDescent="0.3">
      <c r="A6" s="179"/>
      <c r="B6" s="179"/>
      <c r="C6" s="179"/>
      <c r="D6" s="179"/>
      <c r="E6" s="179"/>
      <c r="F6" s="179"/>
      <c r="G6" s="179"/>
      <c r="H6" s="179"/>
      <c r="I6" s="179"/>
      <c r="J6" s="179"/>
      <c r="K6" s="179"/>
      <c r="L6" s="179"/>
      <c r="M6" s="179"/>
      <c r="N6" s="179"/>
      <c r="O6" s="179"/>
      <c r="P6" s="179"/>
      <c r="Q6" s="179"/>
      <c r="R6" s="179"/>
      <c r="S6" s="179"/>
      <c r="T6" s="179"/>
      <c r="U6" s="147" t="s">
        <v>77</v>
      </c>
      <c r="V6" s="148"/>
      <c r="W6" s="147" t="s">
        <v>76</v>
      </c>
      <c r="X6" s="148"/>
    </row>
    <row r="7" spans="1:24" s="70" customFormat="1" ht="34.5" customHeight="1" thickBot="1" x14ac:dyDescent="0.4">
      <c r="A7" s="155" t="s">
        <v>75</v>
      </c>
      <c r="B7" s="156"/>
      <c r="C7" s="152" t="s">
        <v>74</v>
      </c>
      <c r="D7" s="153"/>
      <c r="E7" s="153"/>
      <c r="F7" s="153"/>
      <c r="G7" s="154"/>
      <c r="H7" s="159" t="s">
        <v>141</v>
      </c>
      <c r="I7" s="112">
        <v>0.4</v>
      </c>
      <c r="J7" s="150" t="s">
        <v>73</v>
      </c>
      <c r="K7" s="112">
        <v>0.1</v>
      </c>
      <c r="L7" s="150" t="s">
        <v>71</v>
      </c>
      <c r="M7" s="112">
        <v>0.1</v>
      </c>
      <c r="N7" s="150" t="s">
        <v>69</v>
      </c>
      <c r="O7" s="112">
        <v>0.1</v>
      </c>
      <c r="P7" s="150" t="s">
        <v>122</v>
      </c>
      <c r="Q7" s="112">
        <v>0.3</v>
      </c>
      <c r="R7" s="159" t="s">
        <v>66</v>
      </c>
      <c r="S7" s="159" t="s">
        <v>65</v>
      </c>
      <c r="T7" s="159" t="s">
        <v>64</v>
      </c>
      <c r="U7" s="159" t="s">
        <v>63</v>
      </c>
      <c r="V7" s="159" t="s">
        <v>62</v>
      </c>
      <c r="W7" s="159" t="s">
        <v>61</v>
      </c>
      <c r="X7" s="159" t="s">
        <v>60</v>
      </c>
    </row>
    <row r="8" spans="1:24" s="70" customFormat="1" ht="93.5" thickBot="1" x14ac:dyDescent="0.4">
      <c r="A8" s="157"/>
      <c r="B8" s="158"/>
      <c r="C8" s="113" t="s">
        <v>11</v>
      </c>
      <c r="D8" s="114" t="s">
        <v>0</v>
      </c>
      <c r="E8" s="115" t="s">
        <v>1</v>
      </c>
      <c r="F8" s="116" t="s">
        <v>12</v>
      </c>
      <c r="G8" s="137" t="s">
        <v>3</v>
      </c>
      <c r="H8" s="160"/>
      <c r="I8" s="138" t="s">
        <v>142</v>
      </c>
      <c r="J8" s="151"/>
      <c r="K8" s="138" t="s">
        <v>72</v>
      </c>
      <c r="L8" s="151"/>
      <c r="M8" s="139" t="s">
        <v>70</v>
      </c>
      <c r="N8" s="151"/>
      <c r="O8" s="139" t="s">
        <v>68</v>
      </c>
      <c r="P8" s="151"/>
      <c r="Q8" s="138" t="s">
        <v>67</v>
      </c>
      <c r="R8" s="160"/>
      <c r="S8" s="160"/>
      <c r="T8" s="160"/>
      <c r="U8" s="160"/>
      <c r="V8" s="160"/>
      <c r="W8" s="160"/>
      <c r="X8" s="160"/>
    </row>
    <row r="9" spans="1:24" s="69" customFormat="1" ht="51.75" customHeight="1" x14ac:dyDescent="0.35">
      <c r="A9" s="101">
        <v>1</v>
      </c>
      <c r="B9" s="102"/>
      <c r="C9" s="88"/>
      <c r="D9" s="89"/>
      <c r="E9" s="88"/>
      <c r="F9" s="88"/>
      <c r="G9" s="96">
        <f t="shared" ref="G9:G38" si="0">SUM(C9:F9)</f>
        <v>0</v>
      </c>
      <c r="H9" s="97" t="str">
        <f t="shared" ref="H9:H38" si="1">IF(C9&gt;=1,"Extremo",IF(D9&gt;=1,"Alto",IF(E9&gt;=1,"Moderado",IF(F9&gt;=1,"Bajo",IF(G9=0,"Bajo")))))</f>
        <v>Bajo</v>
      </c>
      <c r="I9" s="98">
        <f t="shared" ref="I9:I38" si="2">IF(C9&gt;=1,5,IF(D9&gt;=1,4,IF(E9&gt;=1,3,IF(F9&gt;=1,2,IF(G9=0,1)))))</f>
        <v>1</v>
      </c>
      <c r="J9" s="68" t="s">
        <v>52</v>
      </c>
      <c r="K9" s="67">
        <f>INDEX(Tiempo_Ult_Aud_Calif,MATCH('Priorización '!J9,Tiempo_Ult_Aud_Def,0))</f>
        <v>1</v>
      </c>
      <c r="L9" s="91" t="s">
        <v>125</v>
      </c>
      <c r="M9" s="103">
        <f t="shared" ref="M9:M38" si="3">INDEX(Nivel_Directivo_Calif,MATCH(L9,Nivel_Directivo_Def,0))</f>
        <v>3</v>
      </c>
      <c r="N9" s="91" t="s">
        <v>50</v>
      </c>
      <c r="O9" s="98">
        <f t="shared" ref="O9:O38" si="4">INDEX(Impacto_Obj_Est_Calif,MATCH(N9,Impacto_Obj_Est_Def,0))</f>
        <v>1</v>
      </c>
      <c r="P9" s="104" t="s">
        <v>117</v>
      </c>
      <c r="Q9" s="98">
        <f t="shared" ref="Q9:Q38" si="5">INDEX(Result_Aud_Ant_Calif,MATCH(P9,Result_Aud_Ant_Def,0))</f>
        <v>1</v>
      </c>
      <c r="R9" s="105">
        <f>$I$7*I9+$K$7*K9+$M$7*M9+$O$7*O9+$Q$7*Q9</f>
        <v>1.2</v>
      </c>
      <c r="S9" s="105" t="str">
        <f t="shared" ref="S9:S38" si="6">LOOKUP(R9,Nivel_Criticidad)</f>
        <v>Bajo</v>
      </c>
      <c r="T9" s="98" t="str">
        <f t="shared" ref="T9:T38" si="7">INDEX(Ciclo_Rotación_Calif,MATCH(S9,Ciclo_Rotación_Def,0))</f>
        <v>No auditar</v>
      </c>
      <c r="U9" s="106" t="str">
        <f t="shared" ref="U9:U38" si="8">IF(T9="Cada año",B9,"")</f>
        <v/>
      </c>
      <c r="V9" s="107" t="str">
        <f t="shared" ref="V9:V38" si="9">IF(OR(T9="Cada año",T9="Cada 2 años"),B9,"")</f>
        <v/>
      </c>
      <c r="W9" s="106" t="str">
        <f t="shared" ref="W9:W38" si="10">IF(OR(T9="Cada año",T9="Cada 3 años"),B9,"")</f>
        <v/>
      </c>
      <c r="X9" s="118" t="str">
        <f t="shared" ref="X9:X38" si="11">IF(OR(T9="Cada año",T9="Cada 2 años",T9="Cada 4 años"),B9,"")</f>
        <v/>
      </c>
    </row>
    <row r="10" spans="1:24" s="69" customFormat="1" ht="37.5" x14ac:dyDescent="0.35">
      <c r="A10" s="94">
        <v>2</v>
      </c>
      <c r="B10" s="87"/>
      <c r="C10" s="89"/>
      <c r="D10" s="89"/>
      <c r="E10" s="89"/>
      <c r="F10" s="89"/>
      <c r="G10" s="96">
        <f t="shared" si="0"/>
        <v>0</v>
      </c>
      <c r="H10" s="97" t="str">
        <f t="shared" si="1"/>
        <v>Bajo</v>
      </c>
      <c r="I10" s="98">
        <f t="shared" si="2"/>
        <v>1</v>
      </c>
      <c r="J10" s="68" t="s">
        <v>54</v>
      </c>
      <c r="K10" s="67">
        <f>INDEX(Tiempo_Ult_Aud_Calif,MATCH('Priorización '!J10,Tiempo_Ult_Aud_Def,0))</f>
        <v>2</v>
      </c>
      <c r="L10" s="91" t="s">
        <v>124</v>
      </c>
      <c r="M10" s="103">
        <f t="shared" si="3"/>
        <v>2</v>
      </c>
      <c r="N10" s="91" t="s">
        <v>58</v>
      </c>
      <c r="O10" s="98">
        <f t="shared" si="4"/>
        <v>5</v>
      </c>
      <c r="P10" s="104" t="s">
        <v>117</v>
      </c>
      <c r="Q10" s="98">
        <f t="shared" si="5"/>
        <v>1</v>
      </c>
      <c r="R10" s="105">
        <f t="shared" ref="R10:R27" si="12">$I$7*I10+$K$7*K10+$M$7*M10+$O$7*O10+$Q$7*Q10</f>
        <v>1.6</v>
      </c>
      <c r="S10" s="105" t="str">
        <f t="shared" si="6"/>
        <v>Bajo (Priorizado)</v>
      </c>
      <c r="T10" s="98" t="str">
        <f t="shared" si="7"/>
        <v>Cada 4 años</v>
      </c>
      <c r="U10" s="106" t="str">
        <f t="shared" si="8"/>
        <v/>
      </c>
      <c r="V10" s="107" t="str">
        <f t="shared" si="9"/>
        <v/>
      </c>
      <c r="W10" s="106" t="str">
        <f t="shared" si="10"/>
        <v/>
      </c>
      <c r="X10" s="118">
        <f t="shared" si="11"/>
        <v>0</v>
      </c>
    </row>
    <row r="11" spans="1:24" s="69" customFormat="1" ht="31.5" customHeight="1" thickBot="1" x14ac:dyDescent="0.4">
      <c r="A11" s="94">
        <v>3</v>
      </c>
      <c r="B11" s="92"/>
      <c r="C11" s="89"/>
      <c r="D11" s="89"/>
      <c r="E11" s="89"/>
      <c r="F11" s="89"/>
      <c r="G11" s="96">
        <f t="shared" si="0"/>
        <v>0</v>
      </c>
      <c r="H11" s="88" t="str">
        <f t="shared" si="1"/>
        <v>Bajo</v>
      </c>
      <c r="I11" s="98">
        <f t="shared" si="2"/>
        <v>1</v>
      </c>
      <c r="J11" s="68" t="s">
        <v>51</v>
      </c>
      <c r="K11" s="67">
        <f>INDEX(Tiempo_Ult_Aud_Calif,MATCH('Priorización '!J11,Tiempo_Ult_Aud_Def,0))</f>
        <v>4</v>
      </c>
      <c r="L11" s="91" t="s">
        <v>127</v>
      </c>
      <c r="M11" s="103">
        <f t="shared" si="3"/>
        <v>5</v>
      </c>
      <c r="N11" s="91" t="s">
        <v>55</v>
      </c>
      <c r="O11" s="98">
        <f t="shared" si="4"/>
        <v>3</v>
      </c>
      <c r="P11" s="104" t="s">
        <v>117</v>
      </c>
      <c r="Q11" s="98">
        <f t="shared" si="5"/>
        <v>1</v>
      </c>
      <c r="R11" s="95">
        <f t="shared" si="12"/>
        <v>1.9000000000000001</v>
      </c>
      <c r="S11" s="95" t="str">
        <f t="shared" si="6"/>
        <v>Bajo (Priorizado)</v>
      </c>
      <c r="T11" s="98" t="str">
        <f t="shared" si="7"/>
        <v>Cada 4 años</v>
      </c>
      <c r="U11" s="106" t="str">
        <f t="shared" si="8"/>
        <v/>
      </c>
      <c r="V11" s="107" t="str">
        <f t="shared" si="9"/>
        <v/>
      </c>
      <c r="W11" s="99" t="str">
        <f t="shared" si="10"/>
        <v/>
      </c>
      <c r="X11" s="118">
        <f t="shared" si="11"/>
        <v>0</v>
      </c>
    </row>
    <row r="12" spans="1:24" s="69" customFormat="1" ht="37.5" x14ac:dyDescent="0.35">
      <c r="A12" s="101">
        <v>4</v>
      </c>
      <c r="B12" s="108"/>
      <c r="C12" s="89"/>
      <c r="D12" s="89"/>
      <c r="E12" s="89"/>
      <c r="F12" s="89"/>
      <c r="G12" s="96">
        <f t="shared" si="0"/>
        <v>0</v>
      </c>
      <c r="H12" s="88" t="str">
        <f t="shared" ref="H12:H25" si="13">IF(C12&gt;=1,"Extremo",IF(D12&gt;=1,"Alto",IF(E12&gt;=1,"Moderado",IF(F12&gt;=1,"Bajo",IF(G12=0,"Bajo")))))</f>
        <v>Bajo</v>
      </c>
      <c r="I12" s="98">
        <f t="shared" si="2"/>
        <v>1</v>
      </c>
      <c r="J12" s="68" t="s">
        <v>53</v>
      </c>
      <c r="K12" s="67">
        <f>INDEX(Tiempo_Ult_Aud_Calif,MATCH('Priorización '!J12,Tiempo_Ult_Aud_Def,0))</f>
        <v>5</v>
      </c>
      <c r="L12" s="91" t="s">
        <v>124</v>
      </c>
      <c r="M12" s="103">
        <f t="shared" si="3"/>
        <v>2</v>
      </c>
      <c r="N12" s="91" t="s">
        <v>57</v>
      </c>
      <c r="O12" s="98">
        <f t="shared" si="4"/>
        <v>2</v>
      </c>
      <c r="P12" s="90" t="s">
        <v>118</v>
      </c>
      <c r="Q12" s="98">
        <f t="shared" si="5"/>
        <v>2</v>
      </c>
      <c r="R12" s="95">
        <f t="shared" si="12"/>
        <v>1.9</v>
      </c>
      <c r="S12" s="95" t="str">
        <f t="shared" si="6"/>
        <v>Bajo (Priorizado)</v>
      </c>
      <c r="T12" s="98" t="str">
        <f t="shared" si="7"/>
        <v>Cada 4 años</v>
      </c>
      <c r="U12" s="106" t="str">
        <f t="shared" si="8"/>
        <v/>
      </c>
      <c r="V12" s="107" t="str">
        <f t="shared" si="9"/>
        <v/>
      </c>
      <c r="W12" s="106" t="str">
        <f t="shared" si="10"/>
        <v/>
      </c>
      <c r="X12" s="118">
        <f t="shared" si="11"/>
        <v>0</v>
      </c>
    </row>
    <row r="13" spans="1:24" s="69" customFormat="1" ht="37.5" x14ac:dyDescent="0.35">
      <c r="A13" s="94">
        <v>5</v>
      </c>
      <c r="B13" s="100"/>
      <c r="C13" s="89"/>
      <c r="D13" s="89"/>
      <c r="E13" s="89"/>
      <c r="F13" s="89"/>
      <c r="G13" s="96">
        <f t="shared" si="0"/>
        <v>0</v>
      </c>
      <c r="H13" s="88" t="str">
        <f t="shared" si="13"/>
        <v>Bajo</v>
      </c>
      <c r="I13" s="98">
        <f t="shared" si="2"/>
        <v>1</v>
      </c>
      <c r="J13" s="68" t="s">
        <v>52</v>
      </c>
      <c r="K13" s="67">
        <f>INDEX(Tiempo_Ult_Aud_Calif,MATCH('Priorización '!J13,Tiempo_Ult_Aud_Def,0))</f>
        <v>1</v>
      </c>
      <c r="L13" s="91" t="s">
        <v>127</v>
      </c>
      <c r="M13" s="103">
        <f t="shared" si="3"/>
        <v>5</v>
      </c>
      <c r="N13" s="91" t="s">
        <v>55</v>
      </c>
      <c r="O13" s="98">
        <f t="shared" si="4"/>
        <v>3</v>
      </c>
      <c r="P13" s="104" t="s">
        <v>117</v>
      </c>
      <c r="Q13" s="98">
        <f t="shared" si="5"/>
        <v>1</v>
      </c>
      <c r="R13" s="95">
        <f t="shared" si="12"/>
        <v>1.6</v>
      </c>
      <c r="S13" s="95" t="str">
        <f t="shared" si="6"/>
        <v>Bajo (Priorizado)</v>
      </c>
      <c r="T13" s="98" t="str">
        <f t="shared" si="7"/>
        <v>Cada 4 años</v>
      </c>
      <c r="U13" s="106" t="str">
        <f t="shared" si="8"/>
        <v/>
      </c>
      <c r="V13" s="107" t="str">
        <f t="shared" si="9"/>
        <v/>
      </c>
      <c r="W13" s="99" t="str">
        <f t="shared" si="10"/>
        <v/>
      </c>
      <c r="X13" s="118">
        <f t="shared" si="11"/>
        <v>0</v>
      </c>
    </row>
    <row r="14" spans="1:24" s="69" customFormat="1" ht="38" thickBot="1" x14ac:dyDescent="0.4">
      <c r="A14" s="94">
        <v>6</v>
      </c>
      <c r="B14" s="87"/>
      <c r="C14" s="89"/>
      <c r="D14" s="89"/>
      <c r="E14" s="89"/>
      <c r="F14" s="89"/>
      <c r="G14" s="96">
        <f t="shared" si="0"/>
        <v>0</v>
      </c>
      <c r="H14" s="88" t="str">
        <f t="shared" si="13"/>
        <v>Bajo</v>
      </c>
      <c r="I14" s="98">
        <f t="shared" si="2"/>
        <v>1</v>
      </c>
      <c r="J14" s="68" t="s">
        <v>52</v>
      </c>
      <c r="K14" s="67">
        <f>INDEX(Tiempo_Ult_Aud_Calif,MATCH('Priorización '!J14,Tiempo_Ult_Aud_Def,0))</f>
        <v>1</v>
      </c>
      <c r="L14" s="91" t="s">
        <v>127</v>
      </c>
      <c r="M14" s="103">
        <f t="shared" si="3"/>
        <v>5</v>
      </c>
      <c r="N14" s="91" t="s">
        <v>58</v>
      </c>
      <c r="O14" s="98">
        <f t="shared" si="4"/>
        <v>5</v>
      </c>
      <c r="P14" s="90" t="s">
        <v>120</v>
      </c>
      <c r="Q14" s="98">
        <f t="shared" si="5"/>
        <v>4</v>
      </c>
      <c r="R14" s="95">
        <f t="shared" si="12"/>
        <v>2.7</v>
      </c>
      <c r="S14" s="95" t="str">
        <f t="shared" si="6"/>
        <v>Moderado</v>
      </c>
      <c r="T14" s="98" t="str">
        <f t="shared" si="7"/>
        <v>Cada 3 años</v>
      </c>
      <c r="U14" s="106" t="str">
        <f t="shared" si="8"/>
        <v/>
      </c>
      <c r="V14" s="107" t="str">
        <f t="shared" si="9"/>
        <v/>
      </c>
      <c r="W14" s="106">
        <f t="shared" si="10"/>
        <v>0</v>
      </c>
      <c r="X14" s="118" t="str">
        <f t="shared" si="11"/>
        <v/>
      </c>
    </row>
    <row r="15" spans="1:24" s="69" customFormat="1" ht="71.25" customHeight="1" x14ac:dyDescent="0.35">
      <c r="A15" s="101">
        <v>7</v>
      </c>
      <c r="B15" s="92"/>
      <c r="C15" s="89"/>
      <c r="D15" s="89"/>
      <c r="E15" s="89"/>
      <c r="F15" s="89"/>
      <c r="G15" s="96">
        <f t="shared" si="0"/>
        <v>0</v>
      </c>
      <c r="H15" s="88" t="str">
        <f t="shared" si="13"/>
        <v>Bajo</v>
      </c>
      <c r="I15" s="98">
        <f t="shared" si="2"/>
        <v>1</v>
      </c>
      <c r="J15" s="68" t="s">
        <v>59</v>
      </c>
      <c r="K15" s="67">
        <f>INDEX(Tiempo_Ult_Aud_Calif,MATCH('Priorización '!J15,Tiempo_Ult_Aud_Def,0))</f>
        <v>3</v>
      </c>
      <c r="L15" s="91" t="s">
        <v>127</v>
      </c>
      <c r="M15" s="103">
        <f t="shared" si="3"/>
        <v>5</v>
      </c>
      <c r="N15" s="91" t="s">
        <v>56</v>
      </c>
      <c r="O15" s="98">
        <f t="shared" si="4"/>
        <v>4</v>
      </c>
      <c r="P15" s="90" t="s">
        <v>118</v>
      </c>
      <c r="Q15" s="98">
        <f t="shared" si="5"/>
        <v>2</v>
      </c>
      <c r="R15" s="95">
        <f t="shared" si="12"/>
        <v>2.2000000000000002</v>
      </c>
      <c r="S15" s="95" t="str">
        <f t="shared" si="6"/>
        <v>Moderado</v>
      </c>
      <c r="T15" s="98" t="str">
        <f t="shared" si="7"/>
        <v>Cada 3 años</v>
      </c>
      <c r="U15" s="106" t="str">
        <f t="shared" si="8"/>
        <v/>
      </c>
      <c r="V15" s="93" t="str">
        <f t="shared" si="9"/>
        <v/>
      </c>
      <c r="W15" s="106">
        <f t="shared" si="10"/>
        <v>0</v>
      </c>
      <c r="X15" s="118" t="str">
        <f t="shared" si="11"/>
        <v/>
      </c>
    </row>
    <row r="16" spans="1:24" s="69" customFormat="1" ht="71.25" customHeight="1" x14ac:dyDescent="0.35">
      <c r="A16" s="94">
        <v>8</v>
      </c>
      <c r="B16" s="87"/>
      <c r="C16" s="89"/>
      <c r="D16" s="89"/>
      <c r="E16" s="89"/>
      <c r="F16" s="89"/>
      <c r="G16" s="96">
        <f t="shared" si="0"/>
        <v>0</v>
      </c>
      <c r="H16" s="88" t="str">
        <f t="shared" si="13"/>
        <v>Bajo</v>
      </c>
      <c r="I16" s="98">
        <f t="shared" si="2"/>
        <v>1</v>
      </c>
      <c r="J16" s="68" t="s">
        <v>52</v>
      </c>
      <c r="K16" s="67">
        <f>INDEX(Tiempo_Ult_Aud_Calif,MATCH('Priorización '!J16,Tiempo_Ult_Aud_Def,0))</f>
        <v>1</v>
      </c>
      <c r="L16" s="91" t="s">
        <v>126</v>
      </c>
      <c r="M16" s="103">
        <f t="shared" si="3"/>
        <v>4</v>
      </c>
      <c r="N16" s="91" t="s">
        <v>55</v>
      </c>
      <c r="O16" s="98">
        <f t="shared" si="4"/>
        <v>3</v>
      </c>
      <c r="P16" s="90" t="s">
        <v>120</v>
      </c>
      <c r="Q16" s="98">
        <f t="shared" si="5"/>
        <v>4</v>
      </c>
      <c r="R16" s="95">
        <f t="shared" si="12"/>
        <v>2.4000000000000004</v>
      </c>
      <c r="S16" s="95" t="str">
        <f t="shared" si="6"/>
        <v>Moderado</v>
      </c>
      <c r="T16" s="98" t="str">
        <f t="shared" si="7"/>
        <v>Cada 3 años</v>
      </c>
      <c r="U16" s="106" t="str">
        <f t="shared" si="8"/>
        <v/>
      </c>
      <c r="V16" s="107" t="str">
        <f t="shared" si="9"/>
        <v/>
      </c>
      <c r="W16" s="106">
        <f t="shared" si="10"/>
        <v>0</v>
      </c>
      <c r="X16" s="118" t="str">
        <f t="shared" si="11"/>
        <v/>
      </c>
    </row>
    <row r="17" spans="1:24" s="69" customFormat="1" ht="38" thickBot="1" x14ac:dyDescent="0.4">
      <c r="A17" s="94">
        <v>9</v>
      </c>
      <c r="B17" s="87"/>
      <c r="C17" s="89"/>
      <c r="D17" s="89"/>
      <c r="E17" s="89"/>
      <c r="F17" s="89"/>
      <c r="G17" s="96">
        <f t="shared" si="0"/>
        <v>0</v>
      </c>
      <c r="H17" s="88" t="str">
        <f t="shared" si="13"/>
        <v>Bajo</v>
      </c>
      <c r="I17" s="98">
        <f t="shared" si="2"/>
        <v>1</v>
      </c>
      <c r="J17" s="68" t="s">
        <v>54</v>
      </c>
      <c r="K17" s="67">
        <f>INDEX(Tiempo_Ult_Aud_Calif,MATCH('Priorización '!J17,Tiempo_Ult_Aud_Def,0))</f>
        <v>2</v>
      </c>
      <c r="L17" s="91" t="s">
        <v>126</v>
      </c>
      <c r="M17" s="103">
        <f t="shared" si="3"/>
        <v>4</v>
      </c>
      <c r="N17" s="91" t="s">
        <v>55</v>
      </c>
      <c r="O17" s="98">
        <f t="shared" si="4"/>
        <v>3</v>
      </c>
      <c r="P17" s="90" t="s">
        <v>118</v>
      </c>
      <c r="Q17" s="98">
        <f t="shared" si="5"/>
        <v>2</v>
      </c>
      <c r="R17" s="95">
        <f t="shared" si="12"/>
        <v>1.9</v>
      </c>
      <c r="S17" s="95" t="str">
        <f t="shared" si="6"/>
        <v>Bajo (Priorizado)</v>
      </c>
      <c r="T17" s="98" t="str">
        <f t="shared" si="7"/>
        <v>Cada 4 años</v>
      </c>
      <c r="U17" s="106" t="str">
        <f t="shared" si="8"/>
        <v/>
      </c>
      <c r="V17" s="107" t="str">
        <f t="shared" si="9"/>
        <v/>
      </c>
      <c r="W17" s="106" t="str">
        <f t="shared" si="10"/>
        <v/>
      </c>
      <c r="X17" s="118">
        <f t="shared" si="11"/>
        <v>0</v>
      </c>
    </row>
    <row r="18" spans="1:24" s="69" customFormat="1" ht="37.5" x14ac:dyDescent="0.35">
      <c r="A18" s="101">
        <v>10</v>
      </c>
      <c r="B18" s="92"/>
      <c r="C18" s="89"/>
      <c r="D18" s="89"/>
      <c r="E18" s="89"/>
      <c r="F18" s="89"/>
      <c r="G18" s="96">
        <f t="shared" si="0"/>
        <v>0</v>
      </c>
      <c r="H18" s="88" t="str">
        <f t="shared" si="13"/>
        <v>Bajo</v>
      </c>
      <c r="I18" s="98">
        <f t="shared" si="2"/>
        <v>1</v>
      </c>
      <c r="J18" s="68" t="s">
        <v>51</v>
      </c>
      <c r="K18" s="67">
        <f>INDEX(Tiempo_Ult_Aud_Calif,MATCH('Priorización '!J18,Tiempo_Ult_Aud_Def,0))</f>
        <v>4</v>
      </c>
      <c r="L18" s="91" t="s">
        <v>126</v>
      </c>
      <c r="M18" s="103">
        <f t="shared" si="3"/>
        <v>4</v>
      </c>
      <c r="N18" s="91" t="s">
        <v>57</v>
      </c>
      <c r="O18" s="98">
        <f t="shared" si="4"/>
        <v>2</v>
      </c>
      <c r="P18" s="90" t="s">
        <v>118</v>
      </c>
      <c r="Q18" s="98">
        <f t="shared" si="5"/>
        <v>2</v>
      </c>
      <c r="R18" s="95">
        <f t="shared" si="12"/>
        <v>2</v>
      </c>
      <c r="S18" s="95" t="str">
        <f t="shared" si="6"/>
        <v>Moderado</v>
      </c>
      <c r="T18" s="98" t="str">
        <f t="shared" si="7"/>
        <v>Cada 3 años</v>
      </c>
      <c r="U18" s="106" t="str">
        <f t="shared" si="8"/>
        <v/>
      </c>
      <c r="V18" s="107" t="str">
        <f t="shared" si="9"/>
        <v/>
      </c>
      <c r="W18" s="106">
        <f t="shared" si="10"/>
        <v>0</v>
      </c>
      <c r="X18" s="118" t="str">
        <f t="shared" si="11"/>
        <v/>
      </c>
    </row>
    <row r="19" spans="1:24" s="69" customFormat="1" ht="37.5" x14ac:dyDescent="0.35">
      <c r="A19" s="94">
        <v>11</v>
      </c>
      <c r="B19" s="92"/>
      <c r="C19" s="89"/>
      <c r="D19" s="89"/>
      <c r="E19" s="89"/>
      <c r="F19" s="89"/>
      <c r="G19" s="96">
        <f t="shared" si="0"/>
        <v>0</v>
      </c>
      <c r="H19" s="88" t="str">
        <f t="shared" si="13"/>
        <v>Bajo</v>
      </c>
      <c r="I19" s="98">
        <f t="shared" si="2"/>
        <v>1</v>
      </c>
      <c r="J19" s="68" t="s">
        <v>54</v>
      </c>
      <c r="K19" s="67">
        <f>INDEX(Tiempo_Ult_Aud_Calif,MATCH('Priorización '!J19,Tiempo_Ult_Aud_Def,0))</f>
        <v>2</v>
      </c>
      <c r="L19" s="91" t="s">
        <v>127</v>
      </c>
      <c r="M19" s="103">
        <f t="shared" si="3"/>
        <v>5</v>
      </c>
      <c r="N19" s="91" t="s">
        <v>57</v>
      </c>
      <c r="O19" s="98">
        <f t="shared" si="4"/>
        <v>2</v>
      </c>
      <c r="P19" s="90" t="s">
        <v>118</v>
      </c>
      <c r="Q19" s="98">
        <f t="shared" si="5"/>
        <v>2</v>
      </c>
      <c r="R19" s="95">
        <f t="shared" si="12"/>
        <v>1.9</v>
      </c>
      <c r="S19" s="95" t="str">
        <f t="shared" si="6"/>
        <v>Bajo (Priorizado)</v>
      </c>
      <c r="T19" s="98" t="str">
        <f t="shared" si="7"/>
        <v>Cada 4 años</v>
      </c>
      <c r="U19" s="106" t="str">
        <f t="shared" si="8"/>
        <v/>
      </c>
      <c r="V19" s="93" t="str">
        <f t="shared" si="9"/>
        <v/>
      </c>
      <c r="W19" s="106" t="str">
        <f t="shared" si="10"/>
        <v/>
      </c>
      <c r="X19" s="118">
        <f t="shared" si="11"/>
        <v>0</v>
      </c>
    </row>
    <row r="20" spans="1:24" s="69" customFormat="1" ht="71.25" customHeight="1" thickBot="1" x14ac:dyDescent="0.4">
      <c r="A20" s="94">
        <v>12</v>
      </c>
      <c r="B20" s="92"/>
      <c r="C20" s="89"/>
      <c r="D20" s="89"/>
      <c r="E20" s="89"/>
      <c r="F20" s="89"/>
      <c r="G20" s="96">
        <f t="shared" si="0"/>
        <v>0</v>
      </c>
      <c r="H20" s="88" t="str">
        <f t="shared" si="13"/>
        <v>Bajo</v>
      </c>
      <c r="I20" s="98">
        <f t="shared" si="2"/>
        <v>1</v>
      </c>
      <c r="J20" s="68" t="s">
        <v>53</v>
      </c>
      <c r="K20" s="67">
        <f>INDEX(Tiempo_Ult_Aud_Calif,MATCH('Priorización '!J20,Tiempo_Ult_Aud_Def,0))</f>
        <v>5</v>
      </c>
      <c r="L20" s="91" t="s">
        <v>127</v>
      </c>
      <c r="M20" s="103">
        <f t="shared" si="3"/>
        <v>5</v>
      </c>
      <c r="N20" s="91" t="s">
        <v>58</v>
      </c>
      <c r="O20" s="98">
        <f t="shared" si="4"/>
        <v>5</v>
      </c>
      <c r="P20" s="90" t="s">
        <v>118</v>
      </c>
      <c r="Q20" s="98">
        <f t="shared" si="5"/>
        <v>2</v>
      </c>
      <c r="R20" s="95">
        <f t="shared" si="12"/>
        <v>2.5</v>
      </c>
      <c r="S20" s="95" t="str">
        <f t="shared" si="6"/>
        <v>Moderado</v>
      </c>
      <c r="T20" s="98" t="str">
        <f t="shared" si="7"/>
        <v>Cada 3 años</v>
      </c>
      <c r="U20" s="106" t="str">
        <f t="shared" si="8"/>
        <v/>
      </c>
      <c r="V20" s="93" t="str">
        <f t="shared" si="9"/>
        <v/>
      </c>
      <c r="W20" s="106">
        <f t="shared" si="10"/>
        <v>0</v>
      </c>
      <c r="X20" s="118" t="str">
        <f t="shared" si="11"/>
        <v/>
      </c>
    </row>
    <row r="21" spans="1:24" s="69" customFormat="1" ht="166.5" customHeight="1" x14ac:dyDescent="0.35">
      <c r="A21" s="101">
        <v>13</v>
      </c>
      <c r="B21" s="92"/>
      <c r="C21" s="89"/>
      <c r="D21" s="89"/>
      <c r="E21" s="89"/>
      <c r="F21" s="89"/>
      <c r="G21" s="96">
        <f t="shared" si="0"/>
        <v>0</v>
      </c>
      <c r="H21" s="88" t="str">
        <f t="shared" si="13"/>
        <v>Bajo</v>
      </c>
      <c r="I21" s="98">
        <f t="shared" si="2"/>
        <v>1</v>
      </c>
      <c r="J21" s="68" t="s">
        <v>54</v>
      </c>
      <c r="K21" s="67">
        <f>INDEX(Tiempo_Ult_Aud_Calif,MATCH('Priorización '!J21,Tiempo_Ult_Aud_Def,0))</f>
        <v>2</v>
      </c>
      <c r="L21" s="91" t="s">
        <v>127</v>
      </c>
      <c r="M21" s="103">
        <f t="shared" si="3"/>
        <v>5</v>
      </c>
      <c r="N21" s="91" t="s">
        <v>58</v>
      </c>
      <c r="O21" s="98">
        <f t="shared" si="4"/>
        <v>5</v>
      </c>
      <c r="P21" s="90" t="s">
        <v>120</v>
      </c>
      <c r="Q21" s="98">
        <f t="shared" si="5"/>
        <v>4</v>
      </c>
      <c r="R21" s="95">
        <f t="shared" si="12"/>
        <v>2.8</v>
      </c>
      <c r="S21" s="95" t="str">
        <f t="shared" si="6"/>
        <v>Moderado</v>
      </c>
      <c r="T21" s="98" t="str">
        <f t="shared" si="7"/>
        <v>Cada 3 años</v>
      </c>
      <c r="U21" s="106" t="str">
        <f t="shared" si="8"/>
        <v/>
      </c>
      <c r="V21" s="93" t="str">
        <f t="shared" si="9"/>
        <v/>
      </c>
      <c r="W21" s="106">
        <f t="shared" si="10"/>
        <v>0</v>
      </c>
      <c r="X21" s="118" t="str">
        <f t="shared" si="11"/>
        <v/>
      </c>
    </row>
    <row r="22" spans="1:24" s="69" customFormat="1" ht="192.75" customHeight="1" x14ac:dyDescent="0.35">
      <c r="A22" s="94">
        <v>14</v>
      </c>
      <c r="B22" s="92"/>
      <c r="C22" s="89"/>
      <c r="D22" s="89"/>
      <c r="E22" s="89"/>
      <c r="F22" s="89"/>
      <c r="G22" s="96">
        <f t="shared" si="0"/>
        <v>0</v>
      </c>
      <c r="H22" s="88" t="str">
        <f t="shared" si="13"/>
        <v>Bajo</v>
      </c>
      <c r="I22" s="98">
        <f t="shared" si="2"/>
        <v>1</v>
      </c>
      <c r="J22" s="68" t="s">
        <v>54</v>
      </c>
      <c r="K22" s="67">
        <f>INDEX(Tiempo_Ult_Aud_Calif,MATCH('Priorización '!J22,Tiempo_Ult_Aud_Def,0))</f>
        <v>2</v>
      </c>
      <c r="L22" s="91" t="s">
        <v>127</v>
      </c>
      <c r="M22" s="103">
        <f t="shared" si="3"/>
        <v>5</v>
      </c>
      <c r="N22" s="91" t="s">
        <v>58</v>
      </c>
      <c r="O22" s="98">
        <f t="shared" si="4"/>
        <v>5</v>
      </c>
      <c r="P22" s="90" t="s">
        <v>120</v>
      </c>
      <c r="Q22" s="98">
        <f t="shared" si="5"/>
        <v>4</v>
      </c>
      <c r="R22" s="95">
        <f t="shared" si="12"/>
        <v>2.8</v>
      </c>
      <c r="S22" s="95" t="str">
        <f t="shared" si="6"/>
        <v>Moderado</v>
      </c>
      <c r="T22" s="98" t="str">
        <f t="shared" si="7"/>
        <v>Cada 3 años</v>
      </c>
      <c r="U22" s="99" t="str">
        <f t="shared" si="8"/>
        <v/>
      </c>
      <c r="V22" s="107" t="str">
        <f t="shared" si="9"/>
        <v/>
      </c>
      <c r="W22" s="106">
        <f t="shared" si="10"/>
        <v>0</v>
      </c>
      <c r="X22" s="118" t="str">
        <f t="shared" si="11"/>
        <v/>
      </c>
    </row>
    <row r="23" spans="1:24" s="69" customFormat="1" ht="63.75" customHeight="1" thickBot="1" x14ac:dyDescent="0.4">
      <c r="A23" s="94">
        <v>15</v>
      </c>
      <c r="B23" s="87"/>
      <c r="C23" s="89"/>
      <c r="D23" s="89"/>
      <c r="E23" s="89"/>
      <c r="F23" s="89"/>
      <c r="G23" s="96">
        <f t="shared" si="0"/>
        <v>0</v>
      </c>
      <c r="H23" s="88" t="str">
        <f t="shared" si="13"/>
        <v>Bajo</v>
      </c>
      <c r="I23" s="98">
        <f t="shared" si="2"/>
        <v>1</v>
      </c>
      <c r="J23" s="68" t="s">
        <v>53</v>
      </c>
      <c r="K23" s="67">
        <f>INDEX(Tiempo_Ult_Aud_Calif,MATCH('Priorización '!J23,Tiempo_Ult_Aud_Def,0))</f>
        <v>5</v>
      </c>
      <c r="L23" s="91" t="s">
        <v>126</v>
      </c>
      <c r="M23" s="103">
        <f t="shared" si="3"/>
        <v>4</v>
      </c>
      <c r="N23" s="91" t="s">
        <v>57</v>
      </c>
      <c r="O23" s="98">
        <f t="shared" si="4"/>
        <v>2</v>
      </c>
      <c r="P23" s="90" t="s">
        <v>121</v>
      </c>
      <c r="Q23" s="98">
        <f t="shared" si="5"/>
        <v>5</v>
      </c>
      <c r="R23" s="95">
        <f t="shared" si="12"/>
        <v>3</v>
      </c>
      <c r="S23" s="95" t="str">
        <f t="shared" si="6"/>
        <v>Alto</v>
      </c>
      <c r="T23" s="98" t="str">
        <f t="shared" si="7"/>
        <v>Cada 2 años</v>
      </c>
      <c r="U23" s="106" t="str">
        <f t="shared" si="8"/>
        <v/>
      </c>
      <c r="V23" s="107">
        <f t="shared" si="9"/>
        <v>0</v>
      </c>
      <c r="W23" s="106" t="str">
        <f t="shared" si="10"/>
        <v/>
      </c>
      <c r="X23" s="118">
        <f t="shared" si="11"/>
        <v>0</v>
      </c>
    </row>
    <row r="24" spans="1:24" s="69" customFormat="1" ht="120" customHeight="1" x14ac:dyDescent="0.35">
      <c r="A24" s="101">
        <v>16</v>
      </c>
      <c r="B24" s="87"/>
      <c r="C24" s="89"/>
      <c r="D24" s="89"/>
      <c r="E24" s="89"/>
      <c r="F24" s="89"/>
      <c r="G24" s="96">
        <f t="shared" si="0"/>
        <v>0</v>
      </c>
      <c r="H24" s="88" t="str">
        <f t="shared" si="13"/>
        <v>Bajo</v>
      </c>
      <c r="I24" s="98">
        <f t="shared" si="2"/>
        <v>1</v>
      </c>
      <c r="J24" s="68" t="s">
        <v>52</v>
      </c>
      <c r="K24" s="67">
        <f>INDEX(Tiempo_Ult_Aud_Calif,MATCH('Priorización '!J24,Tiempo_Ult_Aud_Def,0))</f>
        <v>1</v>
      </c>
      <c r="L24" s="91" t="s">
        <v>125</v>
      </c>
      <c r="M24" s="103">
        <f t="shared" si="3"/>
        <v>3</v>
      </c>
      <c r="N24" s="91" t="s">
        <v>58</v>
      </c>
      <c r="O24" s="98">
        <f t="shared" si="4"/>
        <v>5</v>
      </c>
      <c r="P24" s="90" t="s">
        <v>121</v>
      </c>
      <c r="Q24" s="98">
        <f t="shared" si="5"/>
        <v>5</v>
      </c>
      <c r="R24" s="95">
        <f t="shared" si="12"/>
        <v>2.8</v>
      </c>
      <c r="S24" s="95" t="str">
        <f t="shared" si="6"/>
        <v>Moderado</v>
      </c>
      <c r="T24" s="98" t="str">
        <f t="shared" si="7"/>
        <v>Cada 3 años</v>
      </c>
      <c r="U24" s="106" t="str">
        <f t="shared" si="8"/>
        <v/>
      </c>
      <c r="V24" s="107" t="str">
        <f t="shared" si="9"/>
        <v/>
      </c>
      <c r="W24" s="106">
        <f t="shared" si="10"/>
        <v>0</v>
      </c>
      <c r="X24" s="118" t="str">
        <f t="shared" si="11"/>
        <v/>
      </c>
    </row>
    <row r="25" spans="1:24" s="69" customFormat="1" ht="120" customHeight="1" x14ac:dyDescent="0.35">
      <c r="A25" s="94">
        <v>17</v>
      </c>
      <c r="B25" s="87"/>
      <c r="C25" s="89"/>
      <c r="D25" s="89"/>
      <c r="E25" s="89"/>
      <c r="F25" s="89"/>
      <c r="G25" s="96">
        <f t="shared" si="0"/>
        <v>0</v>
      </c>
      <c r="H25" s="88" t="str">
        <f t="shared" si="13"/>
        <v>Bajo</v>
      </c>
      <c r="I25" s="98">
        <f t="shared" si="2"/>
        <v>1</v>
      </c>
      <c r="J25" s="68" t="s">
        <v>54</v>
      </c>
      <c r="K25" s="67">
        <f>INDEX(Tiempo_Ult_Aud_Calif,MATCH('Priorización '!J25,Tiempo_Ult_Aud_Def,0))</f>
        <v>2</v>
      </c>
      <c r="L25" s="91" t="s">
        <v>123</v>
      </c>
      <c r="M25" s="103">
        <f t="shared" si="3"/>
        <v>1</v>
      </c>
      <c r="N25" s="91" t="s">
        <v>58</v>
      </c>
      <c r="O25" s="98">
        <f t="shared" si="4"/>
        <v>5</v>
      </c>
      <c r="P25" s="90" t="s">
        <v>120</v>
      </c>
      <c r="Q25" s="98">
        <f t="shared" si="5"/>
        <v>4</v>
      </c>
      <c r="R25" s="95">
        <f t="shared" si="12"/>
        <v>2.4000000000000004</v>
      </c>
      <c r="S25" s="95" t="str">
        <f t="shared" si="6"/>
        <v>Moderado</v>
      </c>
      <c r="T25" s="98" t="str">
        <f t="shared" si="7"/>
        <v>Cada 3 años</v>
      </c>
      <c r="U25" s="106" t="str">
        <f t="shared" si="8"/>
        <v/>
      </c>
      <c r="V25" s="107" t="str">
        <f t="shared" si="9"/>
        <v/>
      </c>
      <c r="W25" s="106">
        <f t="shared" si="10"/>
        <v>0</v>
      </c>
      <c r="X25" s="118" t="str">
        <f t="shared" si="11"/>
        <v/>
      </c>
    </row>
    <row r="26" spans="1:24" s="69" customFormat="1" ht="120" customHeight="1" thickBot="1" x14ac:dyDescent="0.4">
      <c r="A26" s="94">
        <v>18</v>
      </c>
      <c r="B26" s="87"/>
      <c r="C26" s="89"/>
      <c r="D26" s="89"/>
      <c r="E26" s="89"/>
      <c r="F26" s="89"/>
      <c r="G26" s="96">
        <f t="shared" si="0"/>
        <v>0</v>
      </c>
      <c r="H26" s="88" t="str">
        <f t="shared" ref="H26:H33" si="14">IF(C26&gt;=1,"Extremo",IF(D26&gt;=1,"Alto",IF(E26&gt;=1,"Moderado",IF(F26&gt;=1,"Bajo",IF(G26=0,"Bajo")))))</f>
        <v>Bajo</v>
      </c>
      <c r="I26" s="98">
        <f t="shared" si="2"/>
        <v>1</v>
      </c>
      <c r="J26" s="68" t="s">
        <v>52</v>
      </c>
      <c r="K26" s="67">
        <f>INDEX(Tiempo_Ult_Aud_Calif,MATCH('Priorización '!J26,Tiempo_Ult_Aud_Def,0))</f>
        <v>1</v>
      </c>
      <c r="L26" s="91" t="s">
        <v>127</v>
      </c>
      <c r="M26" s="103">
        <f t="shared" si="3"/>
        <v>5</v>
      </c>
      <c r="N26" s="91" t="s">
        <v>57</v>
      </c>
      <c r="O26" s="98">
        <f t="shared" si="4"/>
        <v>2</v>
      </c>
      <c r="P26" s="90" t="s">
        <v>118</v>
      </c>
      <c r="Q26" s="98">
        <f t="shared" si="5"/>
        <v>2</v>
      </c>
      <c r="R26" s="95">
        <f t="shared" si="12"/>
        <v>1.7999999999999998</v>
      </c>
      <c r="S26" s="95" t="str">
        <f t="shared" si="6"/>
        <v>Bajo (Priorizado)</v>
      </c>
      <c r="T26" s="98" t="str">
        <f t="shared" si="7"/>
        <v>Cada 4 años</v>
      </c>
      <c r="U26" s="106" t="str">
        <f t="shared" si="8"/>
        <v/>
      </c>
      <c r="V26" s="107" t="str">
        <f t="shared" si="9"/>
        <v/>
      </c>
      <c r="W26" s="106" t="str">
        <f t="shared" si="10"/>
        <v/>
      </c>
      <c r="X26" s="118">
        <f t="shared" si="11"/>
        <v>0</v>
      </c>
    </row>
    <row r="27" spans="1:24" s="69" customFormat="1" ht="120" customHeight="1" x14ac:dyDescent="0.35">
      <c r="A27" s="101">
        <v>19</v>
      </c>
      <c r="B27" s="87"/>
      <c r="C27" s="89"/>
      <c r="D27" s="89"/>
      <c r="E27" s="89"/>
      <c r="F27" s="89"/>
      <c r="G27" s="96">
        <f t="shared" si="0"/>
        <v>0</v>
      </c>
      <c r="H27" s="88" t="str">
        <f t="shared" si="14"/>
        <v>Bajo</v>
      </c>
      <c r="I27" s="98">
        <f t="shared" si="2"/>
        <v>1</v>
      </c>
      <c r="J27" s="68" t="s">
        <v>52</v>
      </c>
      <c r="K27" s="67">
        <f>INDEX(Tiempo_Ult_Aud_Calif,MATCH('Priorización '!J27,Tiempo_Ult_Aud_Def,0))</f>
        <v>1</v>
      </c>
      <c r="L27" s="91" t="s">
        <v>126</v>
      </c>
      <c r="M27" s="103">
        <f t="shared" si="3"/>
        <v>4</v>
      </c>
      <c r="N27" s="91" t="s">
        <v>55</v>
      </c>
      <c r="O27" s="98">
        <f t="shared" si="4"/>
        <v>3</v>
      </c>
      <c r="P27" s="90" t="s">
        <v>121</v>
      </c>
      <c r="Q27" s="98">
        <f t="shared" si="5"/>
        <v>5</v>
      </c>
      <c r="R27" s="95">
        <f t="shared" si="12"/>
        <v>2.7</v>
      </c>
      <c r="S27" s="95" t="str">
        <f t="shared" si="6"/>
        <v>Moderado</v>
      </c>
      <c r="T27" s="98" t="str">
        <f t="shared" si="7"/>
        <v>Cada 3 años</v>
      </c>
      <c r="U27" s="106" t="str">
        <f t="shared" si="8"/>
        <v/>
      </c>
      <c r="V27" s="107" t="str">
        <f t="shared" si="9"/>
        <v/>
      </c>
      <c r="W27" s="106">
        <f t="shared" si="10"/>
        <v>0</v>
      </c>
      <c r="X27" s="118" t="str">
        <f t="shared" si="11"/>
        <v/>
      </c>
    </row>
    <row r="28" spans="1:24" s="69" customFormat="1" ht="114" customHeight="1" x14ac:dyDescent="0.35">
      <c r="A28" s="94">
        <v>20</v>
      </c>
      <c r="B28" s="92"/>
      <c r="C28" s="89"/>
      <c r="D28" s="89"/>
      <c r="E28" s="89"/>
      <c r="F28" s="89"/>
      <c r="G28" s="96">
        <f t="shared" si="0"/>
        <v>0</v>
      </c>
      <c r="H28" s="88" t="str">
        <f t="shared" si="14"/>
        <v>Bajo</v>
      </c>
      <c r="I28" s="98">
        <f t="shared" si="2"/>
        <v>1</v>
      </c>
      <c r="J28" s="68" t="s">
        <v>53</v>
      </c>
      <c r="K28" s="67">
        <f>INDEX(Tiempo_Ult_Aud_Calif,MATCH('Priorización '!J28,Tiempo_Ult_Aud_Def,0))</f>
        <v>5</v>
      </c>
      <c r="L28" s="91" t="s">
        <v>124</v>
      </c>
      <c r="M28" s="103">
        <f t="shared" si="3"/>
        <v>2</v>
      </c>
      <c r="N28" s="91" t="s">
        <v>57</v>
      </c>
      <c r="O28" s="98">
        <f t="shared" si="4"/>
        <v>2</v>
      </c>
      <c r="P28" s="90" t="s">
        <v>119</v>
      </c>
      <c r="Q28" s="98">
        <f t="shared" si="5"/>
        <v>3</v>
      </c>
      <c r="R28" s="95">
        <f t="shared" ref="R28:R38" si="15">$I$7*I28+$K$7*K28+$M$7*M28+$O$7*O28+$Q$7*Q28</f>
        <v>2.2000000000000002</v>
      </c>
      <c r="S28" s="95" t="str">
        <f>LOOKUP(R28,Nivel_Criticidad)</f>
        <v>Moderado</v>
      </c>
      <c r="T28" s="98" t="str">
        <f t="shared" si="7"/>
        <v>Cada 3 años</v>
      </c>
      <c r="U28" s="106" t="str">
        <f t="shared" si="8"/>
        <v/>
      </c>
      <c r="V28" s="107" t="str">
        <f t="shared" si="9"/>
        <v/>
      </c>
      <c r="W28" s="106">
        <f t="shared" si="10"/>
        <v>0</v>
      </c>
      <c r="X28" s="118" t="str">
        <f t="shared" si="11"/>
        <v/>
      </c>
    </row>
    <row r="29" spans="1:24" s="69" customFormat="1" ht="38" thickBot="1" x14ac:dyDescent="0.4">
      <c r="A29" s="94">
        <v>21</v>
      </c>
      <c r="B29" s="87"/>
      <c r="C29" s="89"/>
      <c r="D29" s="89"/>
      <c r="E29" s="89"/>
      <c r="F29" s="89"/>
      <c r="G29" s="96">
        <f t="shared" si="0"/>
        <v>0</v>
      </c>
      <c r="H29" s="88" t="str">
        <f t="shared" si="14"/>
        <v>Bajo</v>
      </c>
      <c r="I29" s="98">
        <f t="shared" si="2"/>
        <v>1</v>
      </c>
      <c r="J29" s="68" t="s">
        <v>53</v>
      </c>
      <c r="K29" s="67">
        <f>INDEX(Tiempo_Ult_Aud_Calif,MATCH('Priorización '!J29,Tiempo_Ult_Aud_Def,0))</f>
        <v>5</v>
      </c>
      <c r="L29" s="91" t="s">
        <v>125</v>
      </c>
      <c r="M29" s="103">
        <f t="shared" si="3"/>
        <v>3</v>
      </c>
      <c r="N29" s="91" t="s">
        <v>57</v>
      </c>
      <c r="O29" s="98">
        <f t="shared" si="4"/>
        <v>2</v>
      </c>
      <c r="P29" s="90" t="s">
        <v>117</v>
      </c>
      <c r="Q29" s="98">
        <f t="shared" si="5"/>
        <v>1</v>
      </c>
      <c r="R29" s="95">
        <f t="shared" si="15"/>
        <v>1.7000000000000002</v>
      </c>
      <c r="S29" s="95" t="str">
        <f>LOOKUP(R29,Nivel_Criticidad)</f>
        <v>Bajo (Priorizado)</v>
      </c>
      <c r="T29" s="98" t="str">
        <f t="shared" si="7"/>
        <v>Cada 4 años</v>
      </c>
      <c r="U29" s="106" t="str">
        <f t="shared" si="8"/>
        <v/>
      </c>
      <c r="V29" s="107" t="str">
        <f t="shared" si="9"/>
        <v/>
      </c>
      <c r="W29" s="106" t="str">
        <f t="shared" si="10"/>
        <v/>
      </c>
      <c r="X29" s="118">
        <f t="shared" si="11"/>
        <v>0</v>
      </c>
    </row>
    <row r="30" spans="1:24" s="69" customFormat="1" ht="37.5" x14ac:dyDescent="0.35">
      <c r="A30" s="101">
        <v>22</v>
      </c>
      <c r="B30" s="92"/>
      <c r="C30" s="89"/>
      <c r="D30" s="89"/>
      <c r="E30" s="89"/>
      <c r="F30" s="89"/>
      <c r="G30" s="96">
        <f t="shared" si="0"/>
        <v>0</v>
      </c>
      <c r="H30" s="88" t="str">
        <f t="shared" si="14"/>
        <v>Bajo</v>
      </c>
      <c r="I30" s="98">
        <f t="shared" si="2"/>
        <v>1</v>
      </c>
      <c r="J30" s="68" t="s">
        <v>53</v>
      </c>
      <c r="K30" s="67">
        <f>INDEX(Tiempo_Ult_Aud_Calif,MATCH('Priorización '!J30,Tiempo_Ult_Aud_Def,0))</f>
        <v>5</v>
      </c>
      <c r="L30" s="91" t="s">
        <v>127</v>
      </c>
      <c r="M30" s="103">
        <f t="shared" si="3"/>
        <v>5</v>
      </c>
      <c r="N30" s="91" t="s">
        <v>58</v>
      </c>
      <c r="O30" s="98">
        <f t="shared" si="4"/>
        <v>5</v>
      </c>
      <c r="P30" s="90" t="s">
        <v>118</v>
      </c>
      <c r="Q30" s="98">
        <f t="shared" si="5"/>
        <v>2</v>
      </c>
      <c r="R30" s="95">
        <f t="shared" si="15"/>
        <v>2.5</v>
      </c>
      <c r="S30" s="95" t="str">
        <f>LOOKUP(R30,Nivel_Criticidad)</f>
        <v>Moderado</v>
      </c>
      <c r="T30" s="98" t="str">
        <f t="shared" si="7"/>
        <v>Cada 3 años</v>
      </c>
      <c r="U30" s="106" t="str">
        <f t="shared" si="8"/>
        <v/>
      </c>
      <c r="V30" s="107" t="str">
        <f t="shared" si="9"/>
        <v/>
      </c>
      <c r="W30" s="106">
        <f t="shared" si="10"/>
        <v>0</v>
      </c>
      <c r="X30" s="118" t="str">
        <f t="shared" si="11"/>
        <v/>
      </c>
    </row>
    <row r="31" spans="1:24" s="69" customFormat="1" ht="37.5" x14ac:dyDescent="0.35">
      <c r="A31" s="94">
        <v>23</v>
      </c>
      <c r="B31" s="87"/>
      <c r="C31" s="89"/>
      <c r="D31" s="89"/>
      <c r="E31" s="89"/>
      <c r="F31" s="89"/>
      <c r="G31" s="96">
        <f t="shared" si="0"/>
        <v>0</v>
      </c>
      <c r="H31" s="88" t="str">
        <f t="shared" si="14"/>
        <v>Bajo</v>
      </c>
      <c r="I31" s="98">
        <f t="shared" si="2"/>
        <v>1</v>
      </c>
      <c r="J31" s="68" t="s">
        <v>53</v>
      </c>
      <c r="K31" s="67">
        <f>INDEX(Tiempo_Ult_Aud_Calif,MATCH('Priorización '!J31,Tiempo_Ult_Aud_Def,0))</f>
        <v>5</v>
      </c>
      <c r="L31" s="91" t="s">
        <v>125</v>
      </c>
      <c r="M31" s="103">
        <f t="shared" si="3"/>
        <v>3</v>
      </c>
      <c r="N31" s="91" t="s">
        <v>57</v>
      </c>
      <c r="O31" s="98">
        <f t="shared" si="4"/>
        <v>2</v>
      </c>
      <c r="P31" s="104" t="s">
        <v>120</v>
      </c>
      <c r="Q31" s="98">
        <f t="shared" si="5"/>
        <v>4</v>
      </c>
      <c r="R31" s="95">
        <f t="shared" si="15"/>
        <v>2.6</v>
      </c>
      <c r="S31" s="95" t="str">
        <f t="shared" si="6"/>
        <v>Moderado</v>
      </c>
      <c r="T31" s="98" t="str">
        <f t="shared" si="7"/>
        <v>Cada 3 años</v>
      </c>
      <c r="U31" s="106" t="str">
        <f t="shared" si="8"/>
        <v/>
      </c>
      <c r="V31" s="107" t="str">
        <f t="shared" si="9"/>
        <v/>
      </c>
      <c r="W31" s="106">
        <f t="shared" si="10"/>
        <v>0</v>
      </c>
      <c r="X31" s="118" t="str">
        <f t="shared" si="11"/>
        <v/>
      </c>
    </row>
    <row r="32" spans="1:24" s="69" customFormat="1" ht="38" thickBot="1" x14ac:dyDescent="0.4">
      <c r="A32" s="94">
        <v>24</v>
      </c>
      <c r="B32" s="87"/>
      <c r="C32" s="89"/>
      <c r="D32" s="89"/>
      <c r="E32" s="89"/>
      <c r="F32" s="89"/>
      <c r="G32" s="96">
        <f t="shared" si="0"/>
        <v>0</v>
      </c>
      <c r="H32" s="88" t="str">
        <f t="shared" si="14"/>
        <v>Bajo</v>
      </c>
      <c r="I32" s="98">
        <f t="shared" si="2"/>
        <v>1</v>
      </c>
      <c r="J32" s="86" t="s">
        <v>52</v>
      </c>
      <c r="K32" s="67">
        <f>INDEX(Tiempo_Ult_Aud_Calif,MATCH('Priorización '!J32,Tiempo_Ult_Aud_Def,0))</f>
        <v>1</v>
      </c>
      <c r="L32" s="91" t="s">
        <v>125</v>
      </c>
      <c r="M32" s="103">
        <f t="shared" si="3"/>
        <v>3</v>
      </c>
      <c r="N32" s="91" t="s">
        <v>58</v>
      </c>
      <c r="O32" s="98">
        <f t="shared" si="4"/>
        <v>5</v>
      </c>
      <c r="P32" s="90" t="s">
        <v>121</v>
      </c>
      <c r="Q32" s="98">
        <f t="shared" si="5"/>
        <v>5</v>
      </c>
      <c r="R32" s="95">
        <f t="shared" si="15"/>
        <v>2.8</v>
      </c>
      <c r="S32" s="95" t="str">
        <f t="shared" si="6"/>
        <v>Moderado</v>
      </c>
      <c r="T32" s="98" t="str">
        <f t="shared" si="7"/>
        <v>Cada 3 años</v>
      </c>
      <c r="U32" s="106" t="str">
        <f t="shared" si="8"/>
        <v/>
      </c>
      <c r="V32" s="107" t="str">
        <f t="shared" si="9"/>
        <v/>
      </c>
      <c r="W32" s="106">
        <f t="shared" si="10"/>
        <v>0</v>
      </c>
      <c r="X32" s="118" t="str">
        <f t="shared" si="11"/>
        <v/>
      </c>
    </row>
    <row r="33" spans="1:24" s="69" customFormat="1" ht="37.5" x14ac:dyDescent="0.35">
      <c r="A33" s="101">
        <v>25</v>
      </c>
      <c r="B33" s="87"/>
      <c r="C33" s="89"/>
      <c r="D33" s="89"/>
      <c r="E33" s="89"/>
      <c r="F33" s="89"/>
      <c r="G33" s="96">
        <f t="shared" si="0"/>
        <v>0</v>
      </c>
      <c r="H33" s="88" t="str">
        <f t="shared" si="14"/>
        <v>Bajo</v>
      </c>
      <c r="I33" s="98">
        <f t="shared" si="2"/>
        <v>1</v>
      </c>
      <c r="J33" s="86" t="s">
        <v>52</v>
      </c>
      <c r="K33" s="67">
        <f>INDEX(Tiempo_Ult_Aud_Calif,MATCH('Priorización '!J33,Tiempo_Ult_Aud_Def,0))</f>
        <v>1</v>
      </c>
      <c r="L33" s="91" t="s">
        <v>126</v>
      </c>
      <c r="M33" s="103">
        <f t="shared" si="3"/>
        <v>4</v>
      </c>
      <c r="N33" s="91" t="s">
        <v>58</v>
      </c>
      <c r="O33" s="98">
        <f t="shared" si="4"/>
        <v>5</v>
      </c>
      <c r="P33" s="90" t="s">
        <v>121</v>
      </c>
      <c r="Q33" s="98">
        <f t="shared" si="5"/>
        <v>5</v>
      </c>
      <c r="R33" s="95">
        <f t="shared" si="15"/>
        <v>2.9</v>
      </c>
      <c r="S33" s="95" t="str">
        <f t="shared" si="6"/>
        <v>Moderado</v>
      </c>
      <c r="T33" s="98" t="str">
        <f t="shared" si="7"/>
        <v>Cada 3 años</v>
      </c>
      <c r="U33" s="106" t="str">
        <f t="shared" si="8"/>
        <v/>
      </c>
      <c r="V33" s="107" t="str">
        <f t="shared" si="9"/>
        <v/>
      </c>
      <c r="W33" s="106">
        <f t="shared" si="10"/>
        <v>0</v>
      </c>
      <c r="X33" s="118" t="str">
        <f t="shared" si="11"/>
        <v/>
      </c>
    </row>
    <row r="34" spans="1:24" s="69" customFormat="1" ht="37.5" x14ac:dyDescent="0.35">
      <c r="A34" s="94">
        <v>26</v>
      </c>
      <c r="B34" s="87"/>
      <c r="C34" s="89"/>
      <c r="D34" s="89"/>
      <c r="E34" s="89"/>
      <c r="F34" s="89"/>
      <c r="G34" s="96">
        <f t="shared" si="0"/>
        <v>0</v>
      </c>
      <c r="H34" s="88" t="str">
        <f t="shared" si="1"/>
        <v>Bajo</v>
      </c>
      <c r="I34" s="98">
        <f t="shared" si="2"/>
        <v>1</v>
      </c>
      <c r="J34" s="86" t="s">
        <v>52</v>
      </c>
      <c r="K34" s="67">
        <f>INDEX(Tiempo_Ult_Aud_Calif,MATCH('Priorización '!J34,Tiempo_Ult_Aud_Def,0))</f>
        <v>1</v>
      </c>
      <c r="L34" s="91" t="s">
        <v>126</v>
      </c>
      <c r="M34" s="103">
        <f t="shared" si="3"/>
        <v>4</v>
      </c>
      <c r="N34" s="91" t="s">
        <v>58</v>
      </c>
      <c r="O34" s="98">
        <f t="shared" si="4"/>
        <v>5</v>
      </c>
      <c r="P34" s="90" t="s">
        <v>121</v>
      </c>
      <c r="Q34" s="98">
        <f t="shared" si="5"/>
        <v>5</v>
      </c>
      <c r="R34" s="95">
        <f t="shared" si="15"/>
        <v>2.9</v>
      </c>
      <c r="S34" s="95" t="str">
        <f t="shared" si="6"/>
        <v>Moderado</v>
      </c>
      <c r="T34" s="98" t="str">
        <f t="shared" si="7"/>
        <v>Cada 3 años</v>
      </c>
      <c r="U34" s="106" t="str">
        <f t="shared" si="8"/>
        <v/>
      </c>
      <c r="V34" s="107" t="str">
        <f t="shared" si="9"/>
        <v/>
      </c>
      <c r="W34" s="106">
        <f t="shared" si="10"/>
        <v>0</v>
      </c>
      <c r="X34" s="118" t="str">
        <f t="shared" si="11"/>
        <v/>
      </c>
    </row>
    <row r="35" spans="1:24" s="69" customFormat="1" ht="38" thickBot="1" x14ac:dyDescent="0.4">
      <c r="A35" s="94">
        <v>27</v>
      </c>
      <c r="B35" s="87"/>
      <c r="C35" s="89"/>
      <c r="D35" s="89"/>
      <c r="E35" s="89"/>
      <c r="F35" s="89"/>
      <c r="G35" s="96">
        <f t="shared" si="0"/>
        <v>0</v>
      </c>
      <c r="H35" s="88" t="str">
        <f t="shared" si="1"/>
        <v>Bajo</v>
      </c>
      <c r="I35" s="98">
        <f t="shared" si="2"/>
        <v>1</v>
      </c>
      <c r="J35" s="86" t="s">
        <v>53</v>
      </c>
      <c r="K35" s="67">
        <f>INDEX(Tiempo_Ult_Aud_Calif,MATCH('Priorización '!J35,Tiempo_Ult_Aud_Def,0))</f>
        <v>5</v>
      </c>
      <c r="L35" s="91" t="s">
        <v>126</v>
      </c>
      <c r="M35" s="103">
        <f t="shared" si="3"/>
        <v>4</v>
      </c>
      <c r="N35" s="91" t="s">
        <v>58</v>
      </c>
      <c r="O35" s="98">
        <f t="shared" si="4"/>
        <v>5</v>
      </c>
      <c r="P35" s="90" t="s">
        <v>121</v>
      </c>
      <c r="Q35" s="98">
        <f t="shared" si="5"/>
        <v>5</v>
      </c>
      <c r="R35" s="95">
        <f t="shared" si="15"/>
        <v>3.3</v>
      </c>
      <c r="S35" s="95" t="str">
        <f t="shared" si="6"/>
        <v>Alto</v>
      </c>
      <c r="T35" s="98" t="str">
        <f t="shared" si="7"/>
        <v>Cada 2 años</v>
      </c>
      <c r="U35" s="106" t="str">
        <f t="shared" si="8"/>
        <v/>
      </c>
      <c r="V35" s="107">
        <f t="shared" si="9"/>
        <v>0</v>
      </c>
      <c r="W35" s="106" t="str">
        <f t="shared" si="10"/>
        <v/>
      </c>
      <c r="X35" s="118">
        <f t="shared" si="11"/>
        <v>0</v>
      </c>
    </row>
    <row r="36" spans="1:24" s="69" customFormat="1" ht="37.5" x14ac:dyDescent="0.35">
      <c r="A36" s="101">
        <v>28</v>
      </c>
      <c r="B36" s="92"/>
      <c r="C36" s="89"/>
      <c r="D36" s="89"/>
      <c r="E36" s="89"/>
      <c r="F36" s="89"/>
      <c r="G36" s="96">
        <f t="shared" si="0"/>
        <v>0</v>
      </c>
      <c r="H36" s="88" t="str">
        <f t="shared" si="1"/>
        <v>Bajo</v>
      </c>
      <c r="I36" s="98">
        <f t="shared" si="2"/>
        <v>1</v>
      </c>
      <c r="J36" s="86" t="s">
        <v>54</v>
      </c>
      <c r="K36" s="67">
        <f>INDEX(Tiempo_Ult_Aud_Calif,MATCH('Priorización '!J36,Tiempo_Ult_Aud_Def,0))</f>
        <v>2</v>
      </c>
      <c r="L36" s="91" t="s">
        <v>126</v>
      </c>
      <c r="M36" s="103">
        <f t="shared" si="3"/>
        <v>4</v>
      </c>
      <c r="N36" s="91" t="s">
        <v>58</v>
      </c>
      <c r="O36" s="98">
        <f t="shared" si="4"/>
        <v>5</v>
      </c>
      <c r="P36" s="90" t="s">
        <v>121</v>
      </c>
      <c r="Q36" s="98">
        <f t="shared" si="5"/>
        <v>5</v>
      </c>
      <c r="R36" s="95">
        <f t="shared" si="15"/>
        <v>3</v>
      </c>
      <c r="S36" s="95" t="str">
        <f t="shared" si="6"/>
        <v>Alto</v>
      </c>
      <c r="T36" s="98" t="str">
        <f t="shared" si="7"/>
        <v>Cada 2 años</v>
      </c>
      <c r="U36" s="106" t="str">
        <f t="shared" si="8"/>
        <v/>
      </c>
      <c r="V36" s="107">
        <f t="shared" si="9"/>
        <v>0</v>
      </c>
      <c r="W36" s="106" t="str">
        <f t="shared" si="10"/>
        <v/>
      </c>
      <c r="X36" s="118">
        <f t="shared" si="11"/>
        <v>0</v>
      </c>
    </row>
    <row r="37" spans="1:24" s="69" customFormat="1" ht="37.5" x14ac:dyDescent="0.35">
      <c r="A37" s="94">
        <v>29</v>
      </c>
      <c r="B37" s="87"/>
      <c r="C37" s="89"/>
      <c r="D37" s="89"/>
      <c r="E37" s="89"/>
      <c r="F37" s="89"/>
      <c r="G37" s="96">
        <f t="shared" si="0"/>
        <v>0</v>
      </c>
      <c r="H37" s="88" t="str">
        <f t="shared" si="1"/>
        <v>Bajo</v>
      </c>
      <c r="I37" s="98">
        <f t="shared" si="2"/>
        <v>1</v>
      </c>
      <c r="J37" s="86" t="s">
        <v>54</v>
      </c>
      <c r="K37" s="67">
        <f>INDEX(Tiempo_Ult_Aud_Calif,MATCH('Priorización '!J37,Tiempo_Ult_Aud_Def,0))</f>
        <v>2</v>
      </c>
      <c r="L37" s="91" t="s">
        <v>126</v>
      </c>
      <c r="M37" s="103">
        <f t="shared" si="3"/>
        <v>4</v>
      </c>
      <c r="N37" s="91" t="s">
        <v>58</v>
      </c>
      <c r="O37" s="98">
        <f t="shared" si="4"/>
        <v>5</v>
      </c>
      <c r="P37" s="90" t="s">
        <v>121</v>
      </c>
      <c r="Q37" s="98">
        <f t="shared" si="5"/>
        <v>5</v>
      </c>
      <c r="R37" s="95">
        <f t="shared" si="15"/>
        <v>3</v>
      </c>
      <c r="S37" s="95" t="str">
        <f t="shared" si="6"/>
        <v>Alto</v>
      </c>
      <c r="T37" s="98" t="str">
        <f t="shared" si="7"/>
        <v>Cada 2 años</v>
      </c>
      <c r="U37" s="106" t="str">
        <f t="shared" si="8"/>
        <v/>
      </c>
      <c r="V37" s="107">
        <f t="shared" si="9"/>
        <v>0</v>
      </c>
      <c r="W37" s="106" t="str">
        <f t="shared" si="10"/>
        <v/>
      </c>
      <c r="X37" s="118">
        <f t="shared" si="11"/>
        <v>0</v>
      </c>
    </row>
    <row r="38" spans="1:24" s="69" customFormat="1" ht="38" thickBot="1" x14ac:dyDescent="0.4">
      <c r="A38" s="117">
        <v>30</v>
      </c>
      <c r="B38" s="119"/>
      <c r="C38" s="120"/>
      <c r="D38" s="120"/>
      <c r="E38" s="120"/>
      <c r="F38" s="120"/>
      <c r="G38" s="121">
        <f t="shared" si="0"/>
        <v>0</v>
      </c>
      <c r="H38" s="122" t="str">
        <f t="shared" si="1"/>
        <v>Bajo</v>
      </c>
      <c r="I38" s="123">
        <f t="shared" si="2"/>
        <v>1</v>
      </c>
      <c r="J38" s="124" t="s">
        <v>53</v>
      </c>
      <c r="K38" s="125">
        <f>INDEX(Tiempo_Ult_Aud_Calif,MATCH('Priorización '!J38,Tiempo_Ult_Aud_Def,0))</f>
        <v>5</v>
      </c>
      <c r="L38" s="126" t="s">
        <v>126</v>
      </c>
      <c r="M38" s="127">
        <f t="shared" si="3"/>
        <v>4</v>
      </c>
      <c r="N38" s="126" t="s">
        <v>58</v>
      </c>
      <c r="O38" s="123">
        <f t="shared" si="4"/>
        <v>5</v>
      </c>
      <c r="P38" s="128" t="s">
        <v>121</v>
      </c>
      <c r="Q38" s="123">
        <f t="shared" si="5"/>
        <v>5</v>
      </c>
      <c r="R38" s="129">
        <f t="shared" si="15"/>
        <v>3.3</v>
      </c>
      <c r="S38" s="129" t="str">
        <f t="shared" si="6"/>
        <v>Alto</v>
      </c>
      <c r="T38" s="123" t="str">
        <f t="shared" si="7"/>
        <v>Cada 2 años</v>
      </c>
      <c r="U38" s="130" t="str">
        <f t="shared" si="8"/>
        <v/>
      </c>
      <c r="V38" s="131">
        <f t="shared" si="9"/>
        <v>0</v>
      </c>
      <c r="W38" s="130" t="str">
        <f t="shared" si="10"/>
        <v/>
      </c>
      <c r="X38" s="132">
        <f t="shared" si="11"/>
        <v>0</v>
      </c>
    </row>
    <row r="39" spans="1:24" s="64" customFormat="1" x14ac:dyDescent="0.25">
      <c r="B39" s="65"/>
      <c r="G39" s="66" t="s">
        <v>49</v>
      </c>
      <c r="H39" s="64" t="b">
        <f>IF(C39&gt;=1,"Extremo",IF(D39&gt;=1,"Alto",IF(E39&gt;=1,"Moderado",IF(F39&gt;=1,"Bajo",IF(G39=0,"Bajo")))))</f>
        <v>0</v>
      </c>
      <c r="I39" s="64" t="b">
        <f>IF(C39&gt;=1,5,IF(D39&gt;=1,4,IF(E39&gt;=1,3,IF(F39&gt;=1,2,IF(G39=0,1)))))</f>
        <v>0</v>
      </c>
    </row>
    <row r="40" spans="1:24" s="64" customFormat="1" x14ac:dyDescent="0.25">
      <c r="B40" s="65"/>
    </row>
    <row r="41" spans="1:24" s="64" customFormat="1" x14ac:dyDescent="0.25">
      <c r="B41" s="65"/>
    </row>
    <row r="42" spans="1:24" s="64" customFormat="1" x14ac:dyDescent="0.25">
      <c r="B42" s="65"/>
    </row>
    <row r="43" spans="1:24" s="64" customFormat="1" x14ac:dyDescent="0.25">
      <c r="B43" s="65"/>
    </row>
    <row r="44" spans="1:24" s="64" customFormat="1" x14ac:dyDescent="0.25">
      <c r="B44" s="65"/>
    </row>
    <row r="45" spans="1:24" s="64" customFormat="1" x14ac:dyDescent="0.25">
      <c r="B45" s="65"/>
    </row>
    <row r="46" spans="1:24" s="64" customFormat="1" x14ac:dyDescent="0.25">
      <c r="B46" s="65"/>
    </row>
    <row r="47" spans="1:24" s="64" customFormat="1" x14ac:dyDescent="0.25">
      <c r="B47" s="65"/>
    </row>
    <row r="48" spans="1:24" s="64" customFormat="1" x14ac:dyDescent="0.25">
      <c r="B48" s="65"/>
    </row>
    <row r="49" spans="2:2" s="64" customFormat="1" x14ac:dyDescent="0.25">
      <c r="B49" s="65"/>
    </row>
    <row r="50" spans="2:2" s="64" customFormat="1" x14ac:dyDescent="0.25">
      <c r="B50" s="65"/>
    </row>
    <row r="51" spans="2:2" s="64" customFormat="1" x14ac:dyDescent="0.25">
      <c r="B51" s="65"/>
    </row>
    <row r="52" spans="2:2" s="64" customFormat="1" x14ac:dyDescent="0.25">
      <c r="B52" s="65"/>
    </row>
    <row r="53" spans="2:2" s="64" customFormat="1" x14ac:dyDescent="0.25">
      <c r="B53" s="65"/>
    </row>
    <row r="54" spans="2:2" s="64" customFormat="1" x14ac:dyDescent="0.25">
      <c r="B54" s="65"/>
    </row>
    <row r="55" spans="2:2" s="64" customFormat="1" x14ac:dyDescent="0.25">
      <c r="B55" s="65"/>
    </row>
    <row r="56" spans="2:2" s="64" customFormat="1" x14ac:dyDescent="0.25">
      <c r="B56" s="65"/>
    </row>
    <row r="57" spans="2:2" s="64" customFormat="1" x14ac:dyDescent="0.25">
      <c r="B57" s="65"/>
    </row>
    <row r="58" spans="2:2" s="64" customFormat="1" x14ac:dyDescent="0.25">
      <c r="B58" s="65"/>
    </row>
    <row r="59" spans="2:2" s="64" customFormat="1" x14ac:dyDescent="0.25">
      <c r="B59" s="65"/>
    </row>
    <row r="60" spans="2:2" s="64" customFormat="1" x14ac:dyDescent="0.25">
      <c r="B60" s="65"/>
    </row>
    <row r="61" spans="2:2" s="64" customFormat="1" x14ac:dyDescent="0.25">
      <c r="B61" s="65"/>
    </row>
    <row r="62" spans="2:2" s="64" customFormat="1" x14ac:dyDescent="0.25">
      <c r="B62" s="65"/>
    </row>
    <row r="63" spans="2:2" s="64" customFormat="1" x14ac:dyDescent="0.25">
      <c r="B63" s="65"/>
    </row>
    <row r="64" spans="2:2" s="64" customFormat="1" x14ac:dyDescent="0.25">
      <c r="B64" s="65"/>
    </row>
    <row r="65" spans="2:2" s="64" customFormat="1" x14ac:dyDescent="0.25">
      <c r="B65" s="65"/>
    </row>
    <row r="66" spans="2:2" s="64" customFormat="1" x14ac:dyDescent="0.25">
      <c r="B66" s="65"/>
    </row>
    <row r="67" spans="2:2" s="64" customFormat="1" x14ac:dyDescent="0.25">
      <c r="B67" s="65"/>
    </row>
    <row r="68" spans="2:2" s="64" customFormat="1" x14ac:dyDescent="0.25">
      <c r="B68" s="65"/>
    </row>
    <row r="69" spans="2:2" s="64" customFormat="1" x14ac:dyDescent="0.25">
      <c r="B69" s="65"/>
    </row>
    <row r="70" spans="2:2" s="64" customFormat="1" x14ac:dyDescent="0.25">
      <c r="B70" s="65"/>
    </row>
    <row r="71" spans="2:2" s="64" customFormat="1" x14ac:dyDescent="0.25">
      <c r="B71" s="65"/>
    </row>
    <row r="72" spans="2:2" s="64" customFormat="1" x14ac:dyDescent="0.25">
      <c r="B72" s="65"/>
    </row>
    <row r="73" spans="2:2" s="64" customFormat="1" x14ac:dyDescent="0.25">
      <c r="B73" s="65"/>
    </row>
    <row r="74" spans="2:2" s="64" customFormat="1" x14ac:dyDescent="0.25">
      <c r="B74" s="65"/>
    </row>
    <row r="75" spans="2:2" s="64" customFormat="1" x14ac:dyDescent="0.25">
      <c r="B75" s="65"/>
    </row>
    <row r="76" spans="2:2" s="64" customFormat="1" x14ac:dyDescent="0.25">
      <c r="B76" s="65"/>
    </row>
    <row r="77" spans="2:2" s="64" customFormat="1" x14ac:dyDescent="0.25">
      <c r="B77" s="65"/>
    </row>
    <row r="78" spans="2:2" s="64" customFormat="1" x14ac:dyDescent="0.25">
      <c r="B78" s="65"/>
    </row>
    <row r="79" spans="2:2" s="64" customFormat="1" x14ac:dyDescent="0.25">
      <c r="B79" s="65"/>
    </row>
    <row r="80" spans="2:2" s="64" customFormat="1" x14ac:dyDescent="0.25">
      <c r="B80" s="65"/>
    </row>
    <row r="81" spans="2:2" s="64" customFormat="1" x14ac:dyDescent="0.25">
      <c r="B81" s="65"/>
    </row>
    <row r="82" spans="2:2" s="64" customFormat="1" x14ac:dyDescent="0.25">
      <c r="B82" s="65"/>
    </row>
    <row r="83" spans="2:2" s="64" customFormat="1" x14ac:dyDescent="0.25">
      <c r="B83" s="65"/>
    </row>
    <row r="84" spans="2:2" s="64" customFormat="1" x14ac:dyDescent="0.25">
      <c r="B84" s="65"/>
    </row>
    <row r="85" spans="2:2" s="64" customFormat="1" x14ac:dyDescent="0.25">
      <c r="B85" s="65"/>
    </row>
    <row r="86" spans="2:2" s="64" customFormat="1" x14ac:dyDescent="0.25">
      <c r="B86" s="65"/>
    </row>
    <row r="87" spans="2:2" s="64" customFormat="1" x14ac:dyDescent="0.25">
      <c r="B87" s="65"/>
    </row>
    <row r="88" spans="2:2" s="64" customFormat="1" x14ac:dyDescent="0.25">
      <c r="B88" s="65"/>
    </row>
    <row r="89" spans="2:2" s="64" customFormat="1" x14ac:dyDescent="0.25">
      <c r="B89" s="65"/>
    </row>
    <row r="90" spans="2:2" s="64" customFormat="1" x14ac:dyDescent="0.25">
      <c r="B90" s="65"/>
    </row>
    <row r="91" spans="2:2" s="64" customFormat="1" x14ac:dyDescent="0.25">
      <c r="B91" s="65"/>
    </row>
    <row r="92" spans="2:2" s="64" customFormat="1" x14ac:dyDescent="0.25">
      <c r="B92" s="65"/>
    </row>
    <row r="93" spans="2:2" s="64" customFormat="1" x14ac:dyDescent="0.25">
      <c r="B93" s="65"/>
    </row>
    <row r="94" spans="2:2" s="64" customFormat="1" x14ac:dyDescent="0.25">
      <c r="B94" s="65"/>
    </row>
    <row r="95" spans="2:2" s="64" customFormat="1" x14ac:dyDescent="0.25">
      <c r="B95" s="65"/>
    </row>
    <row r="96" spans="2:2" s="64" customFormat="1" x14ac:dyDescent="0.25">
      <c r="B96" s="65"/>
    </row>
    <row r="97" spans="2:2" s="64" customFormat="1" x14ac:dyDescent="0.25">
      <c r="B97" s="65"/>
    </row>
    <row r="98" spans="2:2" s="64" customFormat="1" x14ac:dyDescent="0.25">
      <c r="B98" s="65"/>
    </row>
    <row r="99" spans="2:2" s="64" customFormat="1" x14ac:dyDescent="0.25">
      <c r="B99" s="65"/>
    </row>
    <row r="100" spans="2:2" s="64" customFormat="1" x14ac:dyDescent="0.25">
      <c r="B100" s="65"/>
    </row>
    <row r="101" spans="2:2" s="64" customFormat="1" x14ac:dyDescent="0.25">
      <c r="B101" s="65"/>
    </row>
    <row r="102" spans="2:2" s="64" customFormat="1" x14ac:dyDescent="0.25">
      <c r="B102" s="65"/>
    </row>
    <row r="103" spans="2:2" s="64" customFormat="1" x14ac:dyDescent="0.25">
      <c r="B103" s="65"/>
    </row>
    <row r="104" spans="2:2" s="64" customFormat="1" x14ac:dyDescent="0.25">
      <c r="B104" s="65"/>
    </row>
    <row r="105" spans="2:2" s="64" customFormat="1" x14ac:dyDescent="0.25">
      <c r="B105" s="65"/>
    </row>
    <row r="106" spans="2:2" s="64" customFormat="1" x14ac:dyDescent="0.25">
      <c r="B106" s="65"/>
    </row>
    <row r="107" spans="2:2" s="64" customFormat="1" x14ac:dyDescent="0.25">
      <c r="B107" s="65"/>
    </row>
    <row r="108" spans="2:2" s="64" customFormat="1" x14ac:dyDescent="0.25">
      <c r="B108" s="65"/>
    </row>
    <row r="109" spans="2:2" s="64" customFormat="1" x14ac:dyDescent="0.25">
      <c r="B109" s="65"/>
    </row>
    <row r="110" spans="2:2" s="64" customFormat="1" x14ac:dyDescent="0.25">
      <c r="B110" s="65"/>
    </row>
    <row r="111" spans="2:2" s="64" customFormat="1" x14ac:dyDescent="0.25">
      <c r="B111" s="65"/>
    </row>
    <row r="112" spans="2:2" s="64" customFormat="1" x14ac:dyDescent="0.25">
      <c r="B112" s="65"/>
    </row>
    <row r="113" spans="2:2" s="64" customFormat="1" x14ac:dyDescent="0.25">
      <c r="B113" s="65"/>
    </row>
    <row r="114" spans="2:2" s="64" customFormat="1" x14ac:dyDescent="0.25">
      <c r="B114" s="65"/>
    </row>
    <row r="115" spans="2:2" s="64" customFormat="1" x14ac:dyDescent="0.25">
      <c r="B115" s="65"/>
    </row>
    <row r="116" spans="2:2" s="64" customFormat="1" x14ac:dyDescent="0.25">
      <c r="B116" s="65"/>
    </row>
    <row r="117" spans="2:2" s="64" customFormat="1" x14ac:dyDescent="0.25">
      <c r="B117" s="65"/>
    </row>
    <row r="118" spans="2:2" s="64" customFormat="1" x14ac:dyDescent="0.25">
      <c r="B118" s="65"/>
    </row>
    <row r="119" spans="2:2" s="64" customFormat="1" x14ac:dyDescent="0.25">
      <c r="B119" s="65"/>
    </row>
    <row r="120" spans="2:2" s="64" customFormat="1" x14ac:dyDescent="0.25">
      <c r="B120" s="65"/>
    </row>
    <row r="121" spans="2:2" s="64" customFormat="1" x14ac:dyDescent="0.25">
      <c r="B121" s="65"/>
    </row>
    <row r="122" spans="2:2" s="64" customFormat="1" x14ac:dyDescent="0.25">
      <c r="B122" s="65"/>
    </row>
    <row r="123" spans="2:2" s="64" customFormat="1" x14ac:dyDescent="0.25">
      <c r="B123" s="65"/>
    </row>
    <row r="124" spans="2:2" s="64" customFormat="1" x14ac:dyDescent="0.25">
      <c r="B124" s="65"/>
    </row>
    <row r="125" spans="2:2" s="64" customFormat="1" x14ac:dyDescent="0.25">
      <c r="B125" s="65"/>
    </row>
    <row r="126" spans="2:2" s="64" customFormat="1" x14ac:dyDescent="0.25">
      <c r="B126" s="65"/>
    </row>
    <row r="127" spans="2:2" s="64" customFormat="1" x14ac:dyDescent="0.25">
      <c r="B127" s="65"/>
    </row>
    <row r="128" spans="2:2" s="64" customFormat="1" x14ac:dyDescent="0.25">
      <c r="B128" s="65"/>
    </row>
    <row r="129" spans="2:2" s="64" customFormat="1" x14ac:dyDescent="0.25">
      <c r="B129" s="65"/>
    </row>
    <row r="130" spans="2:2" s="64" customFormat="1" x14ac:dyDescent="0.25">
      <c r="B130" s="65"/>
    </row>
    <row r="131" spans="2:2" s="64" customFormat="1" x14ac:dyDescent="0.25">
      <c r="B131" s="65"/>
    </row>
    <row r="132" spans="2:2" s="64" customFormat="1" x14ac:dyDescent="0.25">
      <c r="B132" s="65"/>
    </row>
    <row r="133" spans="2:2" s="64" customFormat="1" x14ac:dyDescent="0.25">
      <c r="B133" s="65"/>
    </row>
    <row r="134" spans="2:2" s="64" customFormat="1" x14ac:dyDescent="0.25">
      <c r="B134" s="65"/>
    </row>
    <row r="135" spans="2:2" s="64" customFormat="1" x14ac:dyDescent="0.25">
      <c r="B135" s="65"/>
    </row>
    <row r="136" spans="2:2" s="64" customFormat="1" x14ac:dyDescent="0.25">
      <c r="B136" s="65"/>
    </row>
    <row r="137" spans="2:2" s="64" customFormat="1" x14ac:dyDescent="0.25">
      <c r="B137" s="65"/>
    </row>
    <row r="138" spans="2:2" s="64" customFormat="1" x14ac:dyDescent="0.25">
      <c r="B138" s="65"/>
    </row>
    <row r="139" spans="2:2" s="64" customFormat="1" x14ac:dyDescent="0.25">
      <c r="B139" s="65"/>
    </row>
    <row r="140" spans="2:2" s="64" customFormat="1" x14ac:dyDescent="0.25">
      <c r="B140" s="65"/>
    </row>
    <row r="141" spans="2:2" s="64" customFormat="1" x14ac:dyDescent="0.25">
      <c r="B141" s="65"/>
    </row>
    <row r="142" spans="2:2" s="64" customFormat="1" x14ac:dyDescent="0.25">
      <c r="B142" s="65"/>
    </row>
    <row r="143" spans="2:2" s="64" customFormat="1" x14ac:dyDescent="0.25">
      <c r="B143" s="65"/>
    </row>
    <row r="144" spans="2:2" s="64" customFormat="1" x14ac:dyDescent="0.25">
      <c r="B144" s="65"/>
    </row>
    <row r="145" spans="2:2" s="64" customFormat="1" x14ac:dyDescent="0.25">
      <c r="B145" s="65"/>
    </row>
    <row r="146" spans="2:2" s="64" customFormat="1" x14ac:dyDescent="0.25">
      <c r="B146" s="65"/>
    </row>
    <row r="147" spans="2:2" s="64" customFormat="1" x14ac:dyDescent="0.25">
      <c r="B147" s="65"/>
    </row>
    <row r="148" spans="2:2" s="64" customFormat="1" x14ac:dyDescent="0.25">
      <c r="B148" s="65"/>
    </row>
    <row r="149" spans="2:2" s="64" customFormat="1" x14ac:dyDescent="0.25">
      <c r="B149" s="65"/>
    </row>
    <row r="150" spans="2:2" s="64" customFormat="1" x14ac:dyDescent="0.25">
      <c r="B150" s="65"/>
    </row>
    <row r="151" spans="2:2" s="64" customFormat="1" x14ac:dyDescent="0.25">
      <c r="B151" s="65"/>
    </row>
    <row r="152" spans="2:2" s="64" customFormat="1" x14ac:dyDescent="0.25">
      <c r="B152" s="65"/>
    </row>
    <row r="153" spans="2:2" s="64" customFormat="1" x14ac:dyDescent="0.25">
      <c r="B153" s="65"/>
    </row>
    <row r="154" spans="2:2" s="64" customFormat="1" x14ac:dyDescent="0.25">
      <c r="B154" s="65"/>
    </row>
    <row r="155" spans="2:2" s="64" customFormat="1" x14ac:dyDescent="0.25">
      <c r="B155" s="65"/>
    </row>
    <row r="156" spans="2:2" s="64" customFormat="1" x14ac:dyDescent="0.25">
      <c r="B156" s="65"/>
    </row>
    <row r="157" spans="2:2" s="64" customFormat="1" x14ac:dyDescent="0.25">
      <c r="B157" s="65"/>
    </row>
    <row r="158" spans="2:2" s="64" customFormat="1" x14ac:dyDescent="0.25">
      <c r="B158" s="65"/>
    </row>
    <row r="159" spans="2:2" s="64" customFormat="1" x14ac:dyDescent="0.25">
      <c r="B159" s="65"/>
    </row>
    <row r="160" spans="2:2" s="64" customFormat="1" x14ac:dyDescent="0.25">
      <c r="B160" s="65"/>
    </row>
    <row r="161" spans="2:2" s="64" customFormat="1" x14ac:dyDescent="0.25">
      <c r="B161" s="65"/>
    </row>
    <row r="162" spans="2:2" s="64" customFormat="1" x14ac:dyDescent="0.25">
      <c r="B162" s="65"/>
    </row>
    <row r="163" spans="2:2" s="64" customFormat="1" x14ac:dyDescent="0.25">
      <c r="B163" s="65"/>
    </row>
    <row r="164" spans="2:2" s="64" customFormat="1" x14ac:dyDescent="0.25">
      <c r="B164" s="65"/>
    </row>
    <row r="165" spans="2:2" s="64" customFormat="1" x14ac:dyDescent="0.25">
      <c r="B165" s="65"/>
    </row>
    <row r="166" spans="2:2" s="64" customFormat="1" x14ac:dyDescent="0.25">
      <c r="B166" s="65"/>
    </row>
    <row r="167" spans="2:2" s="64" customFormat="1" x14ac:dyDescent="0.25">
      <c r="B167" s="65"/>
    </row>
    <row r="168" spans="2:2" s="64" customFormat="1" x14ac:dyDescent="0.25">
      <c r="B168" s="65"/>
    </row>
    <row r="169" spans="2:2" s="64" customFormat="1" x14ac:dyDescent="0.25">
      <c r="B169" s="65"/>
    </row>
    <row r="170" spans="2:2" s="64" customFormat="1" x14ac:dyDescent="0.25">
      <c r="B170" s="65"/>
    </row>
    <row r="171" spans="2:2" s="64" customFormat="1" x14ac:dyDescent="0.25">
      <c r="B171" s="65"/>
    </row>
    <row r="172" spans="2:2" s="64" customFormat="1" x14ac:dyDescent="0.25">
      <c r="B172" s="65"/>
    </row>
    <row r="173" spans="2:2" s="64" customFormat="1" x14ac:dyDescent="0.25">
      <c r="B173" s="65"/>
    </row>
    <row r="174" spans="2:2" s="64" customFormat="1" x14ac:dyDescent="0.25">
      <c r="B174" s="65"/>
    </row>
    <row r="175" spans="2:2" s="64" customFormat="1" x14ac:dyDescent="0.25">
      <c r="B175" s="65"/>
    </row>
    <row r="176" spans="2:2" s="64" customFormat="1" x14ac:dyDescent="0.25">
      <c r="B176" s="65"/>
    </row>
  </sheetData>
  <protectedRanges>
    <protectedRange algorithmName="SHA-512" hashValue="DEhtgLWWX1fGTfY6/jrV83UQn2eRyEcf52ixXqwJG1h9snypFLTtsrlTn4v+3Jfc8qsPtJTcbYO5FAd7DzT8Lw==" saltValue="QsONzCYV9PF/Cm9GQzUNrg==" spinCount="100000" sqref="T6 W6 I7 K7 M7 O7 Q7 N9:N38 L10:L23 J9:J38 L33:L38 L26:L28 L30 P9:P38 B9:F38 A6 A1:B5" name="Rango1"/>
    <protectedRange algorithmName="SHA-512" hashValue="DEhtgLWWX1fGTfY6/jrV83UQn2eRyEcf52ixXqwJG1h9snypFLTtsrlTn4v+3Jfc8qsPtJTcbYO5FAd7DzT8Lw==" saltValue="QsONzCYV9PF/Cm9GQzUNrg==" spinCount="100000" sqref="L24:L25 L29 L31:L32 L9" name="Rango1_2"/>
  </protectedRanges>
  <mergeCells count="19">
    <mergeCell ref="V7:V8"/>
    <mergeCell ref="W7:W8"/>
    <mergeCell ref="A1:B3"/>
    <mergeCell ref="A4:X4"/>
    <mergeCell ref="A5:X5"/>
    <mergeCell ref="C1:V3"/>
    <mergeCell ref="X7:X8"/>
    <mergeCell ref="A6:T6"/>
    <mergeCell ref="N7:N8"/>
    <mergeCell ref="P7:P8"/>
    <mergeCell ref="R7:R8"/>
    <mergeCell ref="S7:S8"/>
    <mergeCell ref="T7:T8"/>
    <mergeCell ref="H7:H8"/>
    <mergeCell ref="J7:J8"/>
    <mergeCell ref="L7:L8"/>
    <mergeCell ref="C7:G7"/>
    <mergeCell ref="A7:B8"/>
    <mergeCell ref="U7:U8"/>
  </mergeCells>
  <conditionalFormatting sqref="H9:K38">
    <cfRule type="containsText" dxfId="9" priority="7" operator="containsText" text="Extremo">
      <formula>NOT(ISERROR(SEARCH("Extremo",H9)))</formula>
    </cfRule>
    <cfRule type="containsText" dxfId="8" priority="8" operator="containsText" text="Muy Bajo">
      <formula>NOT(ISERROR(SEARCH("Muy Bajo",H9)))</formula>
    </cfRule>
    <cfRule type="containsText" dxfId="7" priority="9" operator="containsText" text="Bajo">
      <formula>NOT(ISERROR(SEARCH("Bajo",H9)))</formula>
    </cfRule>
    <cfRule type="containsText" dxfId="6" priority="10" operator="containsText" text="Moderado">
      <formula>NOT(ISERROR(SEARCH("Moderado",H9)))</formula>
    </cfRule>
    <cfRule type="containsText" dxfId="5" priority="11" operator="containsText" text="Alto">
      <formula>NOT(ISERROR(SEARCH("Alto",H9)))</formula>
    </cfRule>
    <cfRule type="containsText" dxfId="4" priority="12" operator="containsText" text="Muy Alto">
      <formula>NOT(ISERROR(SEARCH("Muy Alto",H9)))</formula>
    </cfRule>
  </conditionalFormatting>
  <conditionalFormatting sqref="R9:S38">
    <cfRule type="expression" dxfId="3" priority="3">
      <formula>$R9&gt;=4</formula>
    </cfRule>
    <cfRule type="expression" dxfId="2" priority="4">
      <formula>$R9&gt;=3</formula>
    </cfRule>
    <cfRule type="expression" dxfId="1" priority="5">
      <formula>$R9&gt;=2</formula>
    </cfRule>
    <cfRule type="expression" dxfId="0" priority="6">
      <formula>$R9&lt;2</formula>
    </cfRule>
  </conditionalFormatting>
  <dataValidations yWindow="400" count="25">
    <dataValidation allowBlank="1" showInputMessage="1" showErrorMessage="1" promptTitle="PRIORIZACIÓN AUDITORIAS AÑO 3 " prompt="FAVOR NO DILIGENCIAR ESTA COLUMNA. Aparecerá automáticamente las unidades auditables que deben formar parte del Plan Anual de Auditorías del año 3, acorde con el ciclo de rotación de auditorias (aprobado por el Comité de Control Interno)." sqref="W7" xr:uid="{00000000-0002-0000-0100-000000000000}"/>
    <dataValidation allowBlank="1" showInputMessage="1" showErrorMessage="1" promptTitle="PRIORIZACIÓN AUDITORIAS AÑO 2" prompt="FAVOR NO DILIGENCIAR ESTA COLUMNA. Aparecerá automáticamente las unidades auditables que deben formar parte del Plan Anual de Auditorías del año 2, acorde con el ciclo de rotación de auditorias (aprobado por el Comité de Control Interno)." sqref="V7" xr:uid="{00000000-0002-0000-0100-000001000000}"/>
    <dataValidation allowBlank="1" showInputMessage="1" showErrorMessage="1" promptTitle="PRIORIZACION AUDITORIAS AÑO 1 " prompt="FAVOR NO DILIGENCIAR ESTA COLUMNA. Aparecerá automáticamente las unidades auditables que deben formar parte del Plan Anual de Auditorías del primer año, acorde con el ciclo de rotación de auditorias (aprobado por el Comité de Control Interno)." sqref="U7" xr:uid="{00000000-0002-0000-0100-000002000000}"/>
    <dataValidation allowBlank="1" showInputMessage="1" showErrorMessage="1" promptTitle="PRIORIZACION AUDITORIAS AÑO 4 " prompt="FAVOR NO DILIGENCIAR ESTA COLUMNA. Aparecerá automáticamente las unidades auditables que deben formar parte del Plan Anual de Auditorías del año 4, acorde con el ciclo de rotación de auditorias (aprobado por el Comité de Control Interno)." sqref="X7" xr:uid="{00000000-0002-0000-0100-000003000000}"/>
    <dataValidation allowBlank="1" showInputMessage="1" showErrorMessage="1" promptTitle="CICLO ROTACION AUDITORIAS" prompt="FAVOR NO DIGITAR ESTA COLUMNA. Acá aparecerá automáticamente el ciclo de rotación de las auditorias con base en el nivel de criticidad de cada aspecto evaluable. (Ver hoja &quot;Parámetros&quot;)." sqref="T7" xr:uid="{00000000-0002-0000-0100-000004000000}"/>
    <dataValidation allowBlank="1" showInputMessage="1" showErrorMessage="1" promptTitle="NIVEL DE CRITICIDAD" prompt="FAVOR NO DILIGENCIAR ESTA COLUMNA. La calificación se genera automáticamente al diligenciar las columnas editables con base en lo establecido en la hoja &quot;parámetros&quot;._x000a_Acá aparecerá el nivel de criticidad  semaforizado de cada aspecto evaluable." sqref="S7" xr:uid="{00000000-0002-0000-0100-000005000000}"/>
    <dataValidation allowBlank="1" showInputMessage="1" showErrorMessage="1" promptTitle="PONDERACION" prompt="FAVOR NO DILIGENCIAR ESTA COLUMNA._x000a_Acá aparecerá automáticamente el puntaje consolidado para el nivel de criticidad de cada aspecto evaluable." sqref="R7" xr:uid="{00000000-0002-0000-0100-000006000000}"/>
    <dataValidation allowBlank="1" showInputMessage="1" showErrorMessage="1" promptTitle="CALIFICACION RESULTADO AUDIT ANT" prompt="FAVOR NO DILIGENCIAR ESTA COLUMNA. La calificación se genera automáticamente al diligenciar la columna anterior con base en lo establecido en la hoja &quot;parámetros&quot;." sqref="Q8" xr:uid="{00000000-0002-0000-0100-000007000000}"/>
    <dataValidation allowBlank="1" showInputMessage="1" showErrorMessage="1" promptTitle="RESULTADOS AUDITORIAS ANTERIORES" prompt="Seleccionar la cantidad de hallazgos abiertos que posee temática producto de auditorias internas y externas." sqref="P7" xr:uid="{00000000-0002-0000-0100-000008000000}"/>
    <dataValidation allowBlank="1" showInputMessage="1" showErrorMessage="1" promptTitle="CALIFICACION IMPACTO OBJET ESTRA" prompt="FAVOR NO DILIGENCIAR ESTA COLUMNA. La calificación se genera automáticamente al diligenciar la columna anterior con base en lo establecido en la hoja &quot;parámetros&quot;." sqref="O8" xr:uid="{00000000-0002-0000-0100-000009000000}"/>
    <dataValidation allowBlank="1" showInputMessage="1" showErrorMessage="1" promptTitle="IMPACTO OBJETIVOS ESTRATEGICOS" prompt="Seleccionar la opción que corresponda a la insidencia de este aspecto evaluable o temática en los objetivos estratégicos." sqref="N7" xr:uid="{00000000-0002-0000-0100-00000A000000}"/>
    <dataValidation allowBlank="1" showInputMessage="1" showErrorMessage="1" promptTitle="CALIFICACION INTERESES ALTA DIRE" prompt="FAVOR NO DILIGENCIAR ESTA COLUMNA. Esta calificación se generará automáticamente, respecto de los intereses de la alta dirección." sqref="M8" xr:uid="{00000000-0002-0000-0100-00000B000000}"/>
    <dataValidation allowBlank="1" showInputMessage="1" showErrorMessage="1" promptTitle="TEMAS INTERES DIRECTIVOS" prompt="Seleccione la cantidad de veces que a este tema le hacen seguimiento en Comités Directivos o de Control Interno. Si la temática es solicitada por la alta dirección, se añade directamente en el plan anual de auditoria, no se prioriza." sqref="L7" xr:uid="{00000000-0002-0000-0100-00000C000000}"/>
    <dataValidation allowBlank="1" showInputMessage="1" showErrorMessage="1" promptTitle="CALIFICACION TIEMPO ULTIMA AUDIT" prompt="FAVOR NO DILIGENCIAR ESTA COLUMNA. Esta calificación aparecerá automáticamente con base en la hoja &quot;parámetros&quot; establecidos." sqref="K8" xr:uid="{00000000-0002-0000-0100-00000D000000}"/>
    <dataValidation allowBlank="1" showInputMessage="1" showErrorMessage="1" promptTitle="TIEMPO EN AÑOS" prompt="Seleccione de la lista desplegable los años transcurridos desde la última auditoría o en caso que nunca se haya auditado seleccione &gt;4años." sqref="J7" xr:uid="{00000000-0002-0000-0100-00000E000000}"/>
    <dataValidation type="decimal" allowBlank="1" showInputMessage="1" showErrorMessage="1" promptTitle="PORCENTAJE VARIABLE" prompt="Puede cambiar este porcentaje, siempre y cuando la suma de los porcentajes de las 6 variables sumen 100%, y de acuerdo con la dinámica y complejidad de la entidad." sqref="I7 M7 O7 Q7 K7" xr:uid="{00000000-0002-0000-0100-00000F000000}">
      <formula1>0</formula1>
      <formula2>1</formula2>
    </dataValidation>
    <dataValidation allowBlank="1" showInputMessage="1" showErrorMessage="1" promptTitle="TOTAL PUNTAJE RIESGOS" prompt="FAVOR NO DILIGENCIAR NADA EN ESTA COLUMNA. Aparecerá automáticamente el puntaje consolidado del total de riesgos que afectan cada aspecto evaluable." sqref="G8" xr:uid="{00000000-0002-0000-0100-000010000000}"/>
    <dataValidation allowBlank="1" showInputMessage="1" showErrorMessage="1" promptTitle="RIESGO INHERENTE CALIFICACION" prompt="FAVOR NO DILIGENCIAR NADA ACÁ. Esta columna se diligenciará automáticamente conforme a la hoja &quot;Parámetros&quot;. En esta columna aparecerá automáticamente la calificación que obtiene el nivvel de riesgo inherente consolidado o ponderado." sqref="I8" xr:uid="{00000000-0002-0000-0100-000011000000}"/>
    <dataValidation allowBlank="1" showInputMessage="1" showErrorMessage="1" promptTitle="RIESGO INHERENTE" prompt="FAVOR NO DILIGENCIAR NADA ACÁ. Esta columna se diligenciará automáticamente conforme a la hoja &quot;Parámetros&quot;. Acá aparecerá automáticamente el nivel de riesgo ponderado o consolidado para cada aspecto evaluable (unidad auditable)." sqref="H7" xr:uid="{00000000-0002-0000-0100-000012000000}"/>
    <dataValidation allowBlank="1" showInputMessage="1" showErrorMessage="1" promptTitle="Riesgo inherente" prompt="Digite la cantidad de riesgos por nivel que tiene cada aspecto evaluable." sqref="C7:G7" xr:uid="{00000000-0002-0000-0100-000013000000}"/>
    <dataValidation type="list" allowBlank="1" showInputMessage="1" showErrorMessage="1" sqref="J9:J38" xr:uid="{00000000-0002-0000-0100-000014000000}">
      <formula1>Tiempo_Ult_Aud_Def</formula1>
    </dataValidation>
    <dataValidation type="list" allowBlank="1" showInputMessage="1" showErrorMessage="1" sqref="L9:L38" xr:uid="{00000000-0002-0000-0100-000015000000}">
      <formula1>Nivel_Directivo_Def</formula1>
    </dataValidation>
    <dataValidation type="list" allowBlank="1" showInputMessage="1" showErrorMessage="1" sqref="N9:N38" xr:uid="{00000000-0002-0000-0100-000016000000}">
      <formula1>Impacto_Obj_Est_Def</formula1>
    </dataValidation>
    <dataValidation type="list" allowBlank="1" showInputMessage="1" showErrorMessage="1" sqref="P9:P38" xr:uid="{00000000-0002-0000-0100-000017000000}">
      <formula1>Result_Aud_Ant_Def</formula1>
    </dataValidation>
    <dataValidation allowBlank="1" showInputMessage="1" showErrorMessage="1" promptTitle="Aspectos evaluables" prompt="Tambien son conocidos como unidades auditables, son todos aquellos aspectos que pueden ser evaluados o auditados y que se convertirán en un informe de auditoria o un informe de autoevaluación." sqref="A7" xr:uid="{00000000-0002-0000-0100-000018000000}"/>
  </dataValidations>
  <printOptions verticalCentered="1"/>
  <pageMargins left="0.70866141732283472" right="0.70866141732283472" top="0.74803149606299213" bottom="0.74803149606299213" header="0.31496062992125984" footer="0.31496062992125984"/>
  <pageSetup paperSize="5" scale="22" orientation="landscape" r:id="rId1"/>
  <drawing r:id="rId2"/>
  <legacy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27"/>
  <sheetViews>
    <sheetView showGridLines="0" tabSelected="1" zoomScale="70" zoomScaleNormal="70" workbookViewId="0">
      <selection sqref="A1:A3"/>
    </sheetView>
  </sheetViews>
  <sheetFormatPr baseColWidth="10" defaultRowHeight="14" x14ac:dyDescent="0.3"/>
  <cols>
    <col min="1" max="1" width="38.1796875" style="134" customWidth="1"/>
    <col min="2" max="2" width="26.7265625" style="134" customWidth="1"/>
    <col min="3" max="3" width="31.7265625" style="134" customWidth="1"/>
    <col min="4" max="4" width="35.54296875" style="134" customWidth="1"/>
    <col min="5" max="5" width="24.81640625" style="134" customWidth="1"/>
    <col min="6" max="6" width="22.81640625" style="134" customWidth="1"/>
    <col min="7" max="256" width="11.453125" style="134"/>
    <col min="257" max="257" width="38.1796875" style="134" customWidth="1"/>
    <col min="258" max="258" width="26.7265625" style="134" customWidth="1"/>
    <col min="259" max="259" width="31.7265625" style="134" customWidth="1"/>
    <col min="260" max="260" width="35.54296875" style="134" customWidth="1"/>
    <col min="261" max="261" width="24.81640625" style="134" customWidth="1"/>
    <col min="262" max="262" width="22.81640625" style="134" customWidth="1"/>
    <col min="263" max="512" width="11.453125" style="134"/>
    <col min="513" max="513" width="38.1796875" style="134" customWidth="1"/>
    <col min="514" max="514" width="26.7265625" style="134" customWidth="1"/>
    <col min="515" max="515" width="31.7265625" style="134" customWidth="1"/>
    <col min="516" max="516" width="35.54296875" style="134" customWidth="1"/>
    <col min="517" max="517" width="24.81640625" style="134" customWidth="1"/>
    <col min="518" max="518" width="22.81640625" style="134" customWidth="1"/>
    <col min="519" max="768" width="11.453125" style="134"/>
    <col min="769" max="769" width="38.1796875" style="134" customWidth="1"/>
    <col min="770" max="770" width="26.7265625" style="134" customWidth="1"/>
    <col min="771" max="771" width="31.7265625" style="134" customWidth="1"/>
    <col min="772" max="772" width="35.54296875" style="134" customWidth="1"/>
    <col min="773" max="773" width="24.81640625" style="134" customWidth="1"/>
    <col min="774" max="774" width="22.81640625" style="134" customWidth="1"/>
    <col min="775" max="1024" width="11.453125" style="134"/>
    <col min="1025" max="1025" width="38.1796875" style="134" customWidth="1"/>
    <col min="1026" max="1026" width="26.7265625" style="134" customWidth="1"/>
    <col min="1027" max="1027" width="31.7265625" style="134" customWidth="1"/>
    <col min="1028" max="1028" width="35.54296875" style="134" customWidth="1"/>
    <col min="1029" max="1029" width="24.81640625" style="134" customWidth="1"/>
    <col min="1030" max="1030" width="22.81640625" style="134" customWidth="1"/>
    <col min="1031" max="1280" width="11.453125" style="134"/>
    <col min="1281" max="1281" width="38.1796875" style="134" customWidth="1"/>
    <col min="1282" max="1282" width="26.7265625" style="134" customWidth="1"/>
    <col min="1283" max="1283" width="31.7265625" style="134" customWidth="1"/>
    <col min="1284" max="1284" width="35.54296875" style="134" customWidth="1"/>
    <col min="1285" max="1285" width="24.81640625" style="134" customWidth="1"/>
    <col min="1286" max="1286" width="22.81640625" style="134" customWidth="1"/>
    <col min="1287" max="1536" width="11.453125" style="134"/>
    <col min="1537" max="1537" width="38.1796875" style="134" customWidth="1"/>
    <col min="1538" max="1538" width="26.7265625" style="134" customWidth="1"/>
    <col min="1539" max="1539" width="31.7265625" style="134" customWidth="1"/>
    <col min="1540" max="1540" width="35.54296875" style="134" customWidth="1"/>
    <col min="1541" max="1541" width="24.81640625" style="134" customWidth="1"/>
    <col min="1542" max="1542" width="22.81640625" style="134" customWidth="1"/>
    <col min="1543" max="1792" width="11.453125" style="134"/>
    <col min="1793" max="1793" width="38.1796875" style="134" customWidth="1"/>
    <col min="1794" max="1794" width="26.7265625" style="134" customWidth="1"/>
    <col min="1795" max="1795" width="31.7265625" style="134" customWidth="1"/>
    <col min="1796" max="1796" width="35.54296875" style="134" customWidth="1"/>
    <col min="1797" max="1797" width="24.81640625" style="134" customWidth="1"/>
    <col min="1798" max="1798" width="22.81640625" style="134" customWidth="1"/>
    <col min="1799" max="2048" width="11.453125" style="134"/>
    <col min="2049" max="2049" width="38.1796875" style="134" customWidth="1"/>
    <col min="2050" max="2050" width="26.7265625" style="134" customWidth="1"/>
    <col min="2051" max="2051" width="31.7265625" style="134" customWidth="1"/>
    <col min="2052" max="2052" width="35.54296875" style="134" customWidth="1"/>
    <col min="2053" max="2053" width="24.81640625" style="134" customWidth="1"/>
    <col min="2054" max="2054" width="22.81640625" style="134" customWidth="1"/>
    <col min="2055" max="2304" width="11.453125" style="134"/>
    <col min="2305" max="2305" width="38.1796875" style="134" customWidth="1"/>
    <col min="2306" max="2306" width="26.7265625" style="134" customWidth="1"/>
    <col min="2307" max="2307" width="31.7265625" style="134" customWidth="1"/>
    <col min="2308" max="2308" width="35.54296875" style="134" customWidth="1"/>
    <col min="2309" max="2309" width="24.81640625" style="134" customWidth="1"/>
    <col min="2310" max="2310" width="22.81640625" style="134" customWidth="1"/>
    <col min="2311" max="2560" width="11.453125" style="134"/>
    <col min="2561" max="2561" width="38.1796875" style="134" customWidth="1"/>
    <col min="2562" max="2562" width="26.7265625" style="134" customWidth="1"/>
    <col min="2563" max="2563" width="31.7265625" style="134" customWidth="1"/>
    <col min="2564" max="2564" width="35.54296875" style="134" customWidth="1"/>
    <col min="2565" max="2565" width="24.81640625" style="134" customWidth="1"/>
    <col min="2566" max="2566" width="22.81640625" style="134" customWidth="1"/>
    <col min="2567" max="2816" width="11.453125" style="134"/>
    <col min="2817" max="2817" width="38.1796875" style="134" customWidth="1"/>
    <col min="2818" max="2818" width="26.7265625" style="134" customWidth="1"/>
    <col min="2819" max="2819" width="31.7265625" style="134" customWidth="1"/>
    <col min="2820" max="2820" width="35.54296875" style="134" customWidth="1"/>
    <col min="2821" max="2821" width="24.81640625" style="134" customWidth="1"/>
    <col min="2822" max="2822" width="22.81640625" style="134" customWidth="1"/>
    <col min="2823" max="3072" width="11.453125" style="134"/>
    <col min="3073" max="3073" width="38.1796875" style="134" customWidth="1"/>
    <col min="3074" max="3074" width="26.7265625" style="134" customWidth="1"/>
    <col min="3075" max="3075" width="31.7265625" style="134" customWidth="1"/>
    <col min="3076" max="3076" width="35.54296875" style="134" customWidth="1"/>
    <col min="3077" max="3077" width="24.81640625" style="134" customWidth="1"/>
    <col min="3078" max="3078" width="22.81640625" style="134" customWidth="1"/>
    <col min="3079" max="3328" width="11.453125" style="134"/>
    <col min="3329" max="3329" width="38.1796875" style="134" customWidth="1"/>
    <col min="3330" max="3330" width="26.7265625" style="134" customWidth="1"/>
    <col min="3331" max="3331" width="31.7265625" style="134" customWidth="1"/>
    <col min="3332" max="3332" width="35.54296875" style="134" customWidth="1"/>
    <col min="3333" max="3333" width="24.81640625" style="134" customWidth="1"/>
    <col min="3334" max="3334" width="22.81640625" style="134" customWidth="1"/>
    <col min="3335" max="3584" width="11.453125" style="134"/>
    <col min="3585" max="3585" width="38.1796875" style="134" customWidth="1"/>
    <col min="3586" max="3586" width="26.7265625" style="134" customWidth="1"/>
    <col min="3587" max="3587" width="31.7265625" style="134" customWidth="1"/>
    <col min="3588" max="3588" width="35.54296875" style="134" customWidth="1"/>
    <col min="3589" max="3589" width="24.81640625" style="134" customWidth="1"/>
    <col min="3590" max="3590" width="22.81640625" style="134" customWidth="1"/>
    <col min="3591" max="3840" width="11.453125" style="134"/>
    <col min="3841" max="3841" width="38.1796875" style="134" customWidth="1"/>
    <col min="3842" max="3842" width="26.7265625" style="134" customWidth="1"/>
    <col min="3843" max="3843" width="31.7265625" style="134" customWidth="1"/>
    <col min="3844" max="3844" width="35.54296875" style="134" customWidth="1"/>
    <col min="3845" max="3845" width="24.81640625" style="134" customWidth="1"/>
    <col min="3846" max="3846" width="22.81640625" style="134" customWidth="1"/>
    <col min="3847" max="4096" width="11.453125" style="134"/>
    <col min="4097" max="4097" width="38.1796875" style="134" customWidth="1"/>
    <col min="4098" max="4098" width="26.7265625" style="134" customWidth="1"/>
    <col min="4099" max="4099" width="31.7265625" style="134" customWidth="1"/>
    <col min="4100" max="4100" width="35.54296875" style="134" customWidth="1"/>
    <col min="4101" max="4101" width="24.81640625" style="134" customWidth="1"/>
    <col min="4102" max="4102" width="22.81640625" style="134" customWidth="1"/>
    <col min="4103" max="4352" width="11.453125" style="134"/>
    <col min="4353" max="4353" width="38.1796875" style="134" customWidth="1"/>
    <col min="4354" max="4354" width="26.7265625" style="134" customWidth="1"/>
    <col min="4355" max="4355" width="31.7265625" style="134" customWidth="1"/>
    <col min="4356" max="4356" width="35.54296875" style="134" customWidth="1"/>
    <col min="4357" max="4357" width="24.81640625" style="134" customWidth="1"/>
    <col min="4358" max="4358" width="22.81640625" style="134" customWidth="1"/>
    <col min="4359" max="4608" width="11.453125" style="134"/>
    <col min="4609" max="4609" width="38.1796875" style="134" customWidth="1"/>
    <col min="4610" max="4610" width="26.7265625" style="134" customWidth="1"/>
    <col min="4611" max="4611" width="31.7265625" style="134" customWidth="1"/>
    <col min="4612" max="4612" width="35.54296875" style="134" customWidth="1"/>
    <col min="4613" max="4613" width="24.81640625" style="134" customWidth="1"/>
    <col min="4614" max="4614" width="22.81640625" style="134" customWidth="1"/>
    <col min="4615" max="4864" width="11.453125" style="134"/>
    <col min="4865" max="4865" width="38.1796875" style="134" customWidth="1"/>
    <col min="4866" max="4866" width="26.7265625" style="134" customWidth="1"/>
    <col min="4867" max="4867" width="31.7265625" style="134" customWidth="1"/>
    <col min="4868" max="4868" width="35.54296875" style="134" customWidth="1"/>
    <col min="4869" max="4869" width="24.81640625" style="134" customWidth="1"/>
    <col min="4870" max="4870" width="22.81640625" style="134" customWidth="1"/>
    <col min="4871" max="5120" width="11.453125" style="134"/>
    <col min="5121" max="5121" width="38.1796875" style="134" customWidth="1"/>
    <col min="5122" max="5122" width="26.7265625" style="134" customWidth="1"/>
    <col min="5123" max="5123" width="31.7265625" style="134" customWidth="1"/>
    <col min="5124" max="5124" width="35.54296875" style="134" customWidth="1"/>
    <col min="5125" max="5125" width="24.81640625" style="134" customWidth="1"/>
    <col min="5126" max="5126" width="22.81640625" style="134" customWidth="1"/>
    <col min="5127" max="5376" width="11.453125" style="134"/>
    <col min="5377" max="5377" width="38.1796875" style="134" customWidth="1"/>
    <col min="5378" max="5378" width="26.7265625" style="134" customWidth="1"/>
    <col min="5379" max="5379" width="31.7265625" style="134" customWidth="1"/>
    <col min="5380" max="5380" width="35.54296875" style="134" customWidth="1"/>
    <col min="5381" max="5381" width="24.81640625" style="134" customWidth="1"/>
    <col min="5382" max="5382" width="22.81640625" style="134" customWidth="1"/>
    <col min="5383" max="5632" width="11.453125" style="134"/>
    <col min="5633" max="5633" width="38.1796875" style="134" customWidth="1"/>
    <col min="5634" max="5634" width="26.7265625" style="134" customWidth="1"/>
    <col min="5635" max="5635" width="31.7265625" style="134" customWidth="1"/>
    <col min="5636" max="5636" width="35.54296875" style="134" customWidth="1"/>
    <col min="5637" max="5637" width="24.81640625" style="134" customWidth="1"/>
    <col min="5638" max="5638" width="22.81640625" style="134" customWidth="1"/>
    <col min="5639" max="5888" width="11.453125" style="134"/>
    <col min="5889" max="5889" width="38.1796875" style="134" customWidth="1"/>
    <col min="5890" max="5890" width="26.7265625" style="134" customWidth="1"/>
    <col min="5891" max="5891" width="31.7265625" style="134" customWidth="1"/>
    <col min="5892" max="5892" width="35.54296875" style="134" customWidth="1"/>
    <col min="5893" max="5893" width="24.81640625" style="134" customWidth="1"/>
    <col min="5894" max="5894" width="22.81640625" style="134" customWidth="1"/>
    <col min="5895" max="6144" width="11.453125" style="134"/>
    <col min="6145" max="6145" width="38.1796875" style="134" customWidth="1"/>
    <col min="6146" max="6146" width="26.7265625" style="134" customWidth="1"/>
    <col min="6147" max="6147" width="31.7265625" style="134" customWidth="1"/>
    <col min="6148" max="6148" width="35.54296875" style="134" customWidth="1"/>
    <col min="6149" max="6149" width="24.81640625" style="134" customWidth="1"/>
    <col min="6150" max="6150" width="22.81640625" style="134" customWidth="1"/>
    <col min="6151" max="6400" width="11.453125" style="134"/>
    <col min="6401" max="6401" width="38.1796875" style="134" customWidth="1"/>
    <col min="6402" max="6402" width="26.7265625" style="134" customWidth="1"/>
    <col min="6403" max="6403" width="31.7265625" style="134" customWidth="1"/>
    <col min="6404" max="6404" width="35.54296875" style="134" customWidth="1"/>
    <col min="6405" max="6405" width="24.81640625" style="134" customWidth="1"/>
    <col min="6406" max="6406" width="22.81640625" style="134" customWidth="1"/>
    <col min="6407" max="6656" width="11.453125" style="134"/>
    <col min="6657" max="6657" width="38.1796875" style="134" customWidth="1"/>
    <col min="6658" max="6658" width="26.7265625" style="134" customWidth="1"/>
    <col min="6659" max="6659" width="31.7265625" style="134" customWidth="1"/>
    <col min="6660" max="6660" width="35.54296875" style="134" customWidth="1"/>
    <col min="6661" max="6661" width="24.81640625" style="134" customWidth="1"/>
    <col min="6662" max="6662" width="22.81640625" style="134" customWidth="1"/>
    <col min="6663" max="6912" width="11.453125" style="134"/>
    <col min="6913" max="6913" width="38.1796875" style="134" customWidth="1"/>
    <col min="6914" max="6914" width="26.7265625" style="134" customWidth="1"/>
    <col min="6915" max="6915" width="31.7265625" style="134" customWidth="1"/>
    <col min="6916" max="6916" width="35.54296875" style="134" customWidth="1"/>
    <col min="6917" max="6917" width="24.81640625" style="134" customWidth="1"/>
    <col min="6918" max="6918" width="22.81640625" style="134" customWidth="1"/>
    <col min="6919" max="7168" width="11.453125" style="134"/>
    <col min="7169" max="7169" width="38.1796875" style="134" customWidth="1"/>
    <col min="7170" max="7170" width="26.7265625" style="134" customWidth="1"/>
    <col min="7171" max="7171" width="31.7265625" style="134" customWidth="1"/>
    <col min="7172" max="7172" width="35.54296875" style="134" customWidth="1"/>
    <col min="7173" max="7173" width="24.81640625" style="134" customWidth="1"/>
    <col min="7174" max="7174" width="22.81640625" style="134" customWidth="1"/>
    <col min="7175" max="7424" width="11.453125" style="134"/>
    <col min="7425" max="7425" width="38.1796875" style="134" customWidth="1"/>
    <col min="7426" max="7426" width="26.7265625" style="134" customWidth="1"/>
    <col min="7427" max="7427" width="31.7265625" style="134" customWidth="1"/>
    <col min="7428" max="7428" width="35.54296875" style="134" customWidth="1"/>
    <col min="7429" max="7429" width="24.81640625" style="134" customWidth="1"/>
    <col min="7430" max="7430" width="22.81640625" style="134" customWidth="1"/>
    <col min="7431" max="7680" width="11.453125" style="134"/>
    <col min="7681" max="7681" width="38.1796875" style="134" customWidth="1"/>
    <col min="7682" max="7682" width="26.7265625" style="134" customWidth="1"/>
    <col min="7683" max="7683" width="31.7265625" style="134" customWidth="1"/>
    <col min="7684" max="7684" width="35.54296875" style="134" customWidth="1"/>
    <col min="7685" max="7685" width="24.81640625" style="134" customWidth="1"/>
    <col min="7686" max="7686" width="22.81640625" style="134" customWidth="1"/>
    <col min="7687" max="7936" width="11.453125" style="134"/>
    <col min="7937" max="7937" width="38.1796875" style="134" customWidth="1"/>
    <col min="7938" max="7938" width="26.7265625" style="134" customWidth="1"/>
    <col min="7939" max="7939" width="31.7265625" style="134" customWidth="1"/>
    <col min="7940" max="7940" width="35.54296875" style="134" customWidth="1"/>
    <col min="7941" max="7941" width="24.81640625" style="134" customWidth="1"/>
    <col min="7942" max="7942" width="22.81640625" style="134" customWidth="1"/>
    <col min="7943" max="8192" width="11.453125" style="134"/>
    <col min="8193" max="8193" width="38.1796875" style="134" customWidth="1"/>
    <col min="8194" max="8194" width="26.7265625" style="134" customWidth="1"/>
    <col min="8195" max="8195" width="31.7265625" style="134" customWidth="1"/>
    <col min="8196" max="8196" width="35.54296875" style="134" customWidth="1"/>
    <col min="8197" max="8197" width="24.81640625" style="134" customWidth="1"/>
    <col min="8198" max="8198" width="22.81640625" style="134" customWidth="1"/>
    <col min="8199" max="8448" width="11.453125" style="134"/>
    <col min="8449" max="8449" width="38.1796875" style="134" customWidth="1"/>
    <col min="8450" max="8450" width="26.7265625" style="134" customWidth="1"/>
    <col min="8451" max="8451" width="31.7265625" style="134" customWidth="1"/>
    <col min="8452" max="8452" width="35.54296875" style="134" customWidth="1"/>
    <col min="8453" max="8453" width="24.81640625" style="134" customWidth="1"/>
    <col min="8454" max="8454" width="22.81640625" style="134" customWidth="1"/>
    <col min="8455" max="8704" width="11.453125" style="134"/>
    <col min="8705" max="8705" width="38.1796875" style="134" customWidth="1"/>
    <col min="8706" max="8706" width="26.7265625" style="134" customWidth="1"/>
    <col min="8707" max="8707" width="31.7265625" style="134" customWidth="1"/>
    <col min="8708" max="8708" width="35.54296875" style="134" customWidth="1"/>
    <col min="8709" max="8709" width="24.81640625" style="134" customWidth="1"/>
    <col min="8710" max="8710" width="22.81640625" style="134" customWidth="1"/>
    <col min="8711" max="8960" width="11.453125" style="134"/>
    <col min="8961" max="8961" width="38.1796875" style="134" customWidth="1"/>
    <col min="8962" max="8962" width="26.7265625" style="134" customWidth="1"/>
    <col min="8963" max="8963" width="31.7265625" style="134" customWidth="1"/>
    <col min="8964" max="8964" width="35.54296875" style="134" customWidth="1"/>
    <col min="8965" max="8965" width="24.81640625" style="134" customWidth="1"/>
    <col min="8966" max="8966" width="22.81640625" style="134" customWidth="1"/>
    <col min="8967" max="9216" width="11.453125" style="134"/>
    <col min="9217" max="9217" width="38.1796875" style="134" customWidth="1"/>
    <col min="9218" max="9218" width="26.7265625" style="134" customWidth="1"/>
    <col min="9219" max="9219" width="31.7265625" style="134" customWidth="1"/>
    <col min="9220" max="9220" width="35.54296875" style="134" customWidth="1"/>
    <col min="9221" max="9221" width="24.81640625" style="134" customWidth="1"/>
    <col min="9222" max="9222" width="22.81640625" style="134" customWidth="1"/>
    <col min="9223" max="9472" width="11.453125" style="134"/>
    <col min="9473" max="9473" width="38.1796875" style="134" customWidth="1"/>
    <col min="9474" max="9474" width="26.7265625" style="134" customWidth="1"/>
    <col min="9475" max="9475" width="31.7265625" style="134" customWidth="1"/>
    <col min="9476" max="9476" width="35.54296875" style="134" customWidth="1"/>
    <col min="9477" max="9477" width="24.81640625" style="134" customWidth="1"/>
    <col min="9478" max="9478" width="22.81640625" style="134" customWidth="1"/>
    <col min="9479" max="9728" width="11.453125" style="134"/>
    <col min="9729" max="9729" width="38.1796875" style="134" customWidth="1"/>
    <col min="9730" max="9730" width="26.7265625" style="134" customWidth="1"/>
    <col min="9731" max="9731" width="31.7265625" style="134" customWidth="1"/>
    <col min="9732" max="9732" width="35.54296875" style="134" customWidth="1"/>
    <col min="9733" max="9733" width="24.81640625" style="134" customWidth="1"/>
    <col min="9734" max="9734" width="22.81640625" style="134" customWidth="1"/>
    <col min="9735" max="9984" width="11.453125" style="134"/>
    <col min="9985" max="9985" width="38.1796875" style="134" customWidth="1"/>
    <col min="9986" max="9986" width="26.7265625" style="134" customWidth="1"/>
    <col min="9987" max="9987" width="31.7265625" style="134" customWidth="1"/>
    <col min="9988" max="9988" width="35.54296875" style="134" customWidth="1"/>
    <col min="9989" max="9989" width="24.81640625" style="134" customWidth="1"/>
    <col min="9990" max="9990" width="22.81640625" style="134" customWidth="1"/>
    <col min="9991" max="10240" width="11.453125" style="134"/>
    <col min="10241" max="10241" width="38.1796875" style="134" customWidth="1"/>
    <col min="10242" max="10242" width="26.7265625" style="134" customWidth="1"/>
    <col min="10243" max="10243" width="31.7265625" style="134" customWidth="1"/>
    <col min="10244" max="10244" width="35.54296875" style="134" customWidth="1"/>
    <col min="10245" max="10245" width="24.81640625" style="134" customWidth="1"/>
    <col min="10246" max="10246" width="22.81640625" style="134" customWidth="1"/>
    <col min="10247" max="10496" width="11.453125" style="134"/>
    <col min="10497" max="10497" width="38.1796875" style="134" customWidth="1"/>
    <col min="10498" max="10498" width="26.7265625" style="134" customWidth="1"/>
    <col min="10499" max="10499" width="31.7265625" style="134" customWidth="1"/>
    <col min="10500" max="10500" width="35.54296875" style="134" customWidth="1"/>
    <col min="10501" max="10501" width="24.81640625" style="134" customWidth="1"/>
    <col min="10502" max="10502" width="22.81640625" style="134" customWidth="1"/>
    <col min="10503" max="10752" width="11.453125" style="134"/>
    <col min="10753" max="10753" width="38.1796875" style="134" customWidth="1"/>
    <col min="10754" max="10754" width="26.7265625" style="134" customWidth="1"/>
    <col min="10755" max="10755" width="31.7265625" style="134" customWidth="1"/>
    <col min="10756" max="10756" width="35.54296875" style="134" customWidth="1"/>
    <col min="10757" max="10757" width="24.81640625" style="134" customWidth="1"/>
    <col min="10758" max="10758" width="22.81640625" style="134" customWidth="1"/>
    <col min="10759" max="11008" width="11.453125" style="134"/>
    <col min="11009" max="11009" width="38.1796875" style="134" customWidth="1"/>
    <col min="11010" max="11010" width="26.7265625" style="134" customWidth="1"/>
    <col min="11011" max="11011" width="31.7265625" style="134" customWidth="1"/>
    <col min="11012" max="11012" width="35.54296875" style="134" customWidth="1"/>
    <col min="11013" max="11013" width="24.81640625" style="134" customWidth="1"/>
    <col min="11014" max="11014" width="22.81640625" style="134" customWidth="1"/>
    <col min="11015" max="11264" width="11.453125" style="134"/>
    <col min="11265" max="11265" width="38.1796875" style="134" customWidth="1"/>
    <col min="11266" max="11266" width="26.7265625" style="134" customWidth="1"/>
    <col min="11267" max="11267" width="31.7265625" style="134" customWidth="1"/>
    <col min="11268" max="11268" width="35.54296875" style="134" customWidth="1"/>
    <col min="11269" max="11269" width="24.81640625" style="134" customWidth="1"/>
    <col min="11270" max="11270" width="22.81640625" style="134" customWidth="1"/>
    <col min="11271" max="11520" width="11.453125" style="134"/>
    <col min="11521" max="11521" width="38.1796875" style="134" customWidth="1"/>
    <col min="11522" max="11522" width="26.7265625" style="134" customWidth="1"/>
    <col min="11523" max="11523" width="31.7265625" style="134" customWidth="1"/>
    <col min="11524" max="11524" width="35.54296875" style="134" customWidth="1"/>
    <col min="11525" max="11525" width="24.81640625" style="134" customWidth="1"/>
    <col min="11526" max="11526" width="22.81640625" style="134" customWidth="1"/>
    <col min="11527" max="11776" width="11.453125" style="134"/>
    <col min="11777" max="11777" width="38.1796875" style="134" customWidth="1"/>
    <col min="11778" max="11778" width="26.7265625" style="134" customWidth="1"/>
    <col min="11779" max="11779" width="31.7265625" style="134" customWidth="1"/>
    <col min="11780" max="11780" width="35.54296875" style="134" customWidth="1"/>
    <col min="11781" max="11781" width="24.81640625" style="134" customWidth="1"/>
    <col min="11782" max="11782" width="22.81640625" style="134" customWidth="1"/>
    <col min="11783" max="12032" width="11.453125" style="134"/>
    <col min="12033" max="12033" width="38.1796875" style="134" customWidth="1"/>
    <col min="12034" max="12034" width="26.7265625" style="134" customWidth="1"/>
    <col min="12035" max="12035" width="31.7265625" style="134" customWidth="1"/>
    <col min="12036" max="12036" width="35.54296875" style="134" customWidth="1"/>
    <col min="12037" max="12037" width="24.81640625" style="134" customWidth="1"/>
    <col min="12038" max="12038" width="22.81640625" style="134" customWidth="1"/>
    <col min="12039" max="12288" width="11.453125" style="134"/>
    <col min="12289" max="12289" width="38.1796875" style="134" customWidth="1"/>
    <col min="12290" max="12290" width="26.7265625" style="134" customWidth="1"/>
    <col min="12291" max="12291" width="31.7265625" style="134" customWidth="1"/>
    <col min="12292" max="12292" width="35.54296875" style="134" customWidth="1"/>
    <col min="12293" max="12293" width="24.81640625" style="134" customWidth="1"/>
    <col min="12294" max="12294" width="22.81640625" style="134" customWidth="1"/>
    <col min="12295" max="12544" width="11.453125" style="134"/>
    <col min="12545" max="12545" width="38.1796875" style="134" customWidth="1"/>
    <col min="12546" max="12546" width="26.7265625" style="134" customWidth="1"/>
    <col min="12547" max="12547" width="31.7265625" style="134" customWidth="1"/>
    <col min="12548" max="12548" width="35.54296875" style="134" customWidth="1"/>
    <col min="12549" max="12549" width="24.81640625" style="134" customWidth="1"/>
    <col min="12550" max="12550" width="22.81640625" style="134" customWidth="1"/>
    <col min="12551" max="12800" width="11.453125" style="134"/>
    <col min="12801" max="12801" width="38.1796875" style="134" customWidth="1"/>
    <col min="12802" max="12802" width="26.7265625" style="134" customWidth="1"/>
    <col min="12803" max="12803" width="31.7265625" style="134" customWidth="1"/>
    <col min="12804" max="12804" width="35.54296875" style="134" customWidth="1"/>
    <col min="12805" max="12805" width="24.81640625" style="134" customWidth="1"/>
    <col min="12806" max="12806" width="22.81640625" style="134" customWidth="1"/>
    <col min="12807" max="13056" width="11.453125" style="134"/>
    <col min="13057" max="13057" width="38.1796875" style="134" customWidth="1"/>
    <col min="13058" max="13058" width="26.7265625" style="134" customWidth="1"/>
    <col min="13059" max="13059" width="31.7265625" style="134" customWidth="1"/>
    <col min="13060" max="13060" width="35.54296875" style="134" customWidth="1"/>
    <col min="13061" max="13061" width="24.81640625" style="134" customWidth="1"/>
    <col min="13062" max="13062" width="22.81640625" style="134" customWidth="1"/>
    <col min="13063" max="13312" width="11.453125" style="134"/>
    <col min="13313" max="13313" width="38.1796875" style="134" customWidth="1"/>
    <col min="13314" max="13314" width="26.7265625" style="134" customWidth="1"/>
    <col min="13315" max="13315" width="31.7265625" style="134" customWidth="1"/>
    <col min="13316" max="13316" width="35.54296875" style="134" customWidth="1"/>
    <col min="13317" max="13317" width="24.81640625" style="134" customWidth="1"/>
    <col min="13318" max="13318" width="22.81640625" style="134" customWidth="1"/>
    <col min="13319" max="13568" width="11.453125" style="134"/>
    <col min="13569" max="13569" width="38.1796875" style="134" customWidth="1"/>
    <col min="13570" max="13570" width="26.7265625" style="134" customWidth="1"/>
    <col min="13571" max="13571" width="31.7265625" style="134" customWidth="1"/>
    <col min="13572" max="13572" width="35.54296875" style="134" customWidth="1"/>
    <col min="13573" max="13573" width="24.81640625" style="134" customWidth="1"/>
    <col min="13574" max="13574" width="22.81640625" style="134" customWidth="1"/>
    <col min="13575" max="13824" width="11.453125" style="134"/>
    <col min="13825" max="13825" width="38.1796875" style="134" customWidth="1"/>
    <col min="13826" max="13826" width="26.7265625" style="134" customWidth="1"/>
    <col min="13827" max="13827" width="31.7265625" style="134" customWidth="1"/>
    <col min="13828" max="13828" width="35.54296875" style="134" customWidth="1"/>
    <col min="13829" max="13829" width="24.81640625" style="134" customWidth="1"/>
    <col min="13830" max="13830" width="22.81640625" style="134" customWidth="1"/>
    <col min="13831" max="14080" width="11.453125" style="134"/>
    <col min="14081" max="14081" width="38.1796875" style="134" customWidth="1"/>
    <col min="14082" max="14082" width="26.7265625" style="134" customWidth="1"/>
    <col min="14083" max="14083" width="31.7265625" style="134" customWidth="1"/>
    <col min="14084" max="14084" width="35.54296875" style="134" customWidth="1"/>
    <col min="14085" max="14085" width="24.81640625" style="134" customWidth="1"/>
    <col min="14086" max="14086" width="22.81640625" style="134" customWidth="1"/>
    <col min="14087" max="14336" width="11.453125" style="134"/>
    <col min="14337" max="14337" width="38.1796875" style="134" customWidth="1"/>
    <col min="14338" max="14338" width="26.7265625" style="134" customWidth="1"/>
    <col min="14339" max="14339" width="31.7265625" style="134" customWidth="1"/>
    <col min="14340" max="14340" width="35.54296875" style="134" customWidth="1"/>
    <col min="14341" max="14341" width="24.81640625" style="134" customWidth="1"/>
    <col min="14342" max="14342" width="22.81640625" style="134" customWidth="1"/>
    <col min="14343" max="14592" width="11.453125" style="134"/>
    <col min="14593" max="14593" width="38.1796875" style="134" customWidth="1"/>
    <col min="14594" max="14594" width="26.7265625" style="134" customWidth="1"/>
    <col min="14595" max="14595" width="31.7265625" style="134" customWidth="1"/>
    <col min="14596" max="14596" width="35.54296875" style="134" customWidth="1"/>
    <col min="14597" max="14597" width="24.81640625" style="134" customWidth="1"/>
    <col min="14598" max="14598" width="22.81640625" style="134" customWidth="1"/>
    <col min="14599" max="14848" width="11.453125" style="134"/>
    <col min="14849" max="14849" width="38.1796875" style="134" customWidth="1"/>
    <col min="14850" max="14850" width="26.7265625" style="134" customWidth="1"/>
    <col min="14851" max="14851" width="31.7265625" style="134" customWidth="1"/>
    <col min="14852" max="14852" width="35.54296875" style="134" customWidth="1"/>
    <col min="14853" max="14853" width="24.81640625" style="134" customWidth="1"/>
    <col min="14854" max="14854" width="22.81640625" style="134" customWidth="1"/>
    <col min="14855" max="15104" width="11.453125" style="134"/>
    <col min="15105" max="15105" width="38.1796875" style="134" customWidth="1"/>
    <col min="15106" max="15106" width="26.7265625" style="134" customWidth="1"/>
    <col min="15107" max="15107" width="31.7265625" style="134" customWidth="1"/>
    <col min="15108" max="15108" width="35.54296875" style="134" customWidth="1"/>
    <col min="15109" max="15109" width="24.81640625" style="134" customWidth="1"/>
    <col min="15110" max="15110" width="22.81640625" style="134" customWidth="1"/>
    <col min="15111" max="15360" width="11.453125" style="134"/>
    <col min="15361" max="15361" width="38.1796875" style="134" customWidth="1"/>
    <col min="15362" max="15362" width="26.7265625" style="134" customWidth="1"/>
    <col min="15363" max="15363" width="31.7265625" style="134" customWidth="1"/>
    <col min="15364" max="15364" width="35.54296875" style="134" customWidth="1"/>
    <col min="15365" max="15365" width="24.81640625" style="134" customWidth="1"/>
    <col min="15366" max="15366" width="22.81640625" style="134" customWidth="1"/>
    <col min="15367" max="15616" width="11.453125" style="134"/>
    <col min="15617" max="15617" width="38.1796875" style="134" customWidth="1"/>
    <col min="15618" max="15618" width="26.7265625" style="134" customWidth="1"/>
    <col min="15619" max="15619" width="31.7265625" style="134" customWidth="1"/>
    <col min="15620" max="15620" width="35.54296875" style="134" customWidth="1"/>
    <col min="15621" max="15621" width="24.81640625" style="134" customWidth="1"/>
    <col min="15622" max="15622" width="22.81640625" style="134" customWidth="1"/>
    <col min="15623" max="15872" width="11.453125" style="134"/>
    <col min="15873" max="15873" width="38.1796875" style="134" customWidth="1"/>
    <col min="15874" max="15874" width="26.7265625" style="134" customWidth="1"/>
    <col min="15875" max="15875" width="31.7265625" style="134" customWidth="1"/>
    <col min="15876" max="15876" width="35.54296875" style="134" customWidth="1"/>
    <col min="15877" max="15877" width="24.81640625" style="134" customWidth="1"/>
    <col min="15878" max="15878" width="22.81640625" style="134" customWidth="1"/>
    <col min="15879" max="16128" width="11.453125" style="134"/>
    <col min="16129" max="16129" width="38.1796875" style="134" customWidth="1"/>
    <col min="16130" max="16130" width="26.7265625" style="134" customWidth="1"/>
    <col min="16131" max="16131" width="31.7265625" style="134" customWidth="1"/>
    <col min="16132" max="16132" width="35.54296875" style="134" customWidth="1"/>
    <col min="16133" max="16133" width="24.81640625" style="134" customWidth="1"/>
    <col min="16134" max="16134" width="22.81640625" style="134" customWidth="1"/>
    <col min="16135" max="16384" width="11.453125" style="134"/>
  </cols>
  <sheetData>
    <row r="1" spans="1:6" ht="16" thickBot="1" x14ac:dyDescent="0.35">
      <c r="A1" s="183"/>
      <c r="B1" s="195" t="s">
        <v>163</v>
      </c>
      <c r="C1" s="196"/>
      <c r="D1" s="197"/>
      <c r="E1" s="133" t="s">
        <v>129</v>
      </c>
      <c r="F1" s="109" t="str">
        <f>+'Priorización '!X1</f>
        <v>EM-FO-008</v>
      </c>
    </row>
    <row r="2" spans="1:6" ht="23.25" customHeight="1" thickBot="1" x14ac:dyDescent="0.35">
      <c r="A2" s="184"/>
      <c r="B2" s="198"/>
      <c r="C2" s="199"/>
      <c r="D2" s="200"/>
      <c r="E2" s="133" t="s">
        <v>130</v>
      </c>
      <c r="F2" s="109" t="str">
        <f>+'Priorización '!X2</f>
        <v>02</v>
      </c>
    </row>
    <row r="3" spans="1:6" ht="21.75" customHeight="1" thickBot="1" x14ac:dyDescent="0.35">
      <c r="A3" s="185"/>
      <c r="B3" s="201"/>
      <c r="C3" s="202"/>
      <c r="D3" s="203"/>
      <c r="E3" s="133" t="s">
        <v>131</v>
      </c>
      <c r="F3" s="111">
        <f>+'Priorización '!X3</f>
        <v>45712</v>
      </c>
    </row>
    <row r="4" spans="1:6" ht="21.75" customHeight="1" thickBot="1" x14ac:dyDescent="0.35">
      <c r="A4" s="192" t="s">
        <v>160</v>
      </c>
      <c r="B4" s="193"/>
      <c r="C4" s="193"/>
      <c r="D4" s="193"/>
      <c r="E4" s="193"/>
      <c r="F4" s="194"/>
    </row>
    <row r="5" spans="1:6" ht="21.75" customHeight="1" thickBot="1" x14ac:dyDescent="0.35">
      <c r="A5" s="192" t="s">
        <v>161</v>
      </c>
      <c r="B5" s="193"/>
      <c r="C5" s="193"/>
      <c r="D5" s="193"/>
      <c r="E5" s="193"/>
      <c r="F5" s="194"/>
    </row>
    <row r="6" spans="1:6" ht="37.5" customHeight="1" thickBot="1" x14ac:dyDescent="0.35">
      <c r="A6" s="186" t="s">
        <v>159</v>
      </c>
      <c r="B6" s="187"/>
      <c r="C6" s="187"/>
      <c r="D6" s="187"/>
      <c r="E6" s="187"/>
      <c r="F6" s="188"/>
    </row>
    <row r="7" spans="1:6" ht="14.5" thickBot="1" x14ac:dyDescent="0.35">
      <c r="A7" s="135" t="s">
        <v>132</v>
      </c>
      <c r="B7" s="189" t="s">
        <v>133</v>
      </c>
      <c r="C7" s="190"/>
      <c r="D7" s="190"/>
      <c r="E7" s="190"/>
      <c r="F7" s="191"/>
    </row>
    <row r="8" spans="1:6" ht="28" x14ac:dyDescent="0.3">
      <c r="A8" s="140" t="s">
        <v>138</v>
      </c>
      <c r="B8" s="180" t="s">
        <v>135</v>
      </c>
      <c r="C8" s="181"/>
      <c r="D8" s="181"/>
      <c r="E8" s="181"/>
      <c r="F8" s="182"/>
    </row>
    <row r="9" spans="1:6" x14ac:dyDescent="0.3">
      <c r="A9" s="141" t="s">
        <v>137</v>
      </c>
      <c r="B9" s="207" t="s">
        <v>136</v>
      </c>
      <c r="C9" s="208"/>
      <c r="D9" s="208"/>
      <c r="E9" s="208"/>
      <c r="F9" s="209"/>
    </row>
    <row r="10" spans="1:6" ht="27" customHeight="1" x14ac:dyDescent="0.3">
      <c r="A10" s="142" t="s">
        <v>3</v>
      </c>
      <c r="B10" s="210" t="s">
        <v>139</v>
      </c>
      <c r="C10" s="211"/>
      <c r="D10" s="211"/>
      <c r="E10" s="211"/>
      <c r="F10" s="212"/>
    </row>
    <row r="11" spans="1:6" ht="28.5" customHeight="1" x14ac:dyDescent="0.3">
      <c r="A11" s="143" t="s">
        <v>143</v>
      </c>
      <c r="B11" s="210" t="s">
        <v>140</v>
      </c>
      <c r="C11" s="211"/>
      <c r="D11" s="211"/>
      <c r="E11" s="211"/>
      <c r="F11" s="212"/>
    </row>
    <row r="12" spans="1:6" ht="28.5" customHeight="1" x14ac:dyDescent="0.3">
      <c r="A12" s="143" t="s">
        <v>144</v>
      </c>
      <c r="B12" s="204" t="s">
        <v>145</v>
      </c>
      <c r="C12" s="205"/>
      <c r="D12" s="205"/>
      <c r="E12" s="205"/>
      <c r="F12" s="206"/>
    </row>
    <row r="13" spans="1:6" ht="28" x14ac:dyDescent="0.3">
      <c r="A13" s="144" t="s">
        <v>73</v>
      </c>
      <c r="B13" s="213" t="s">
        <v>146</v>
      </c>
      <c r="C13" s="214"/>
      <c r="D13" s="214"/>
      <c r="E13" s="214"/>
      <c r="F13" s="215"/>
    </row>
    <row r="14" spans="1:6" ht="28.5" customHeight="1" x14ac:dyDescent="0.3">
      <c r="A14" s="143" t="s">
        <v>72</v>
      </c>
      <c r="B14" s="204" t="s">
        <v>145</v>
      </c>
      <c r="C14" s="205"/>
      <c r="D14" s="205"/>
      <c r="E14" s="205"/>
      <c r="F14" s="206"/>
    </row>
    <row r="15" spans="1:6" s="136" customFormat="1" ht="28" x14ac:dyDescent="0.35">
      <c r="A15" s="144" t="s">
        <v>71</v>
      </c>
      <c r="B15" s="213" t="s">
        <v>134</v>
      </c>
      <c r="C15" s="214"/>
      <c r="D15" s="214"/>
      <c r="E15" s="214"/>
      <c r="F15" s="215"/>
    </row>
    <row r="16" spans="1:6" s="136" customFormat="1" ht="28.5" customHeight="1" x14ac:dyDescent="0.35">
      <c r="A16" s="143" t="s">
        <v>70</v>
      </c>
      <c r="B16" s="204" t="s">
        <v>147</v>
      </c>
      <c r="C16" s="205"/>
      <c r="D16" s="205"/>
      <c r="E16" s="205"/>
      <c r="F16" s="206"/>
    </row>
    <row r="17" spans="1:6" s="136" customFormat="1" ht="28" x14ac:dyDescent="0.35">
      <c r="A17" s="144" t="s">
        <v>69</v>
      </c>
      <c r="B17" s="213" t="s">
        <v>148</v>
      </c>
      <c r="C17" s="214"/>
      <c r="D17" s="214"/>
      <c r="E17" s="214"/>
      <c r="F17" s="215"/>
    </row>
    <row r="18" spans="1:6" s="136" customFormat="1" ht="28.5" customHeight="1" x14ac:dyDescent="0.35">
      <c r="A18" s="143" t="s">
        <v>68</v>
      </c>
      <c r="B18" s="204" t="s">
        <v>150</v>
      </c>
      <c r="C18" s="205"/>
      <c r="D18" s="205"/>
      <c r="E18" s="205"/>
      <c r="F18" s="206"/>
    </row>
    <row r="19" spans="1:6" ht="28" x14ac:dyDescent="0.3">
      <c r="A19" s="144" t="s">
        <v>122</v>
      </c>
      <c r="B19" s="213" t="s">
        <v>149</v>
      </c>
      <c r="C19" s="214"/>
      <c r="D19" s="214"/>
      <c r="E19" s="214"/>
      <c r="F19" s="215"/>
    </row>
    <row r="20" spans="1:6" ht="28" x14ac:dyDescent="0.3">
      <c r="A20" s="143" t="s">
        <v>67</v>
      </c>
      <c r="B20" s="204" t="s">
        <v>151</v>
      </c>
      <c r="C20" s="205"/>
      <c r="D20" s="205"/>
      <c r="E20" s="205"/>
      <c r="F20" s="206"/>
    </row>
    <row r="21" spans="1:6" x14ac:dyDescent="0.3">
      <c r="A21" s="145" t="s">
        <v>66</v>
      </c>
      <c r="B21" s="204" t="s">
        <v>152</v>
      </c>
      <c r="C21" s="205"/>
      <c r="D21" s="205"/>
      <c r="E21" s="205"/>
      <c r="F21" s="206"/>
    </row>
    <row r="22" spans="1:6" ht="31.5" customHeight="1" x14ac:dyDescent="0.3">
      <c r="A22" s="143" t="s">
        <v>65</v>
      </c>
      <c r="B22" s="204" t="s">
        <v>153</v>
      </c>
      <c r="C22" s="205"/>
      <c r="D22" s="205"/>
      <c r="E22" s="205"/>
      <c r="F22" s="206"/>
    </row>
    <row r="23" spans="1:6" ht="29.25" customHeight="1" x14ac:dyDescent="0.3">
      <c r="A23" s="145" t="s">
        <v>64</v>
      </c>
      <c r="B23" s="204" t="s">
        <v>154</v>
      </c>
      <c r="C23" s="205"/>
      <c r="D23" s="205"/>
      <c r="E23" s="205"/>
      <c r="F23" s="206"/>
    </row>
    <row r="24" spans="1:6" ht="28.5" customHeight="1" x14ac:dyDescent="0.3">
      <c r="A24" s="146" t="s">
        <v>63</v>
      </c>
      <c r="B24" s="204" t="s">
        <v>155</v>
      </c>
      <c r="C24" s="205"/>
      <c r="D24" s="205"/>
      <c r="E24" s="205"/>
      <c r="F24" s="206"/>
    </row>
    <row r="25" spans="1:6" ht="28.5" customHeight="1" x14ac:dyDescent="0.3">
      <c r="A25" s="146" t="s">
        <v>62</v>
      </c>
      <c r="B25" s="204" t="s">
        <v>156</v>
      </c>
      <c r="C25" s="205"/>
      <c r="D25" s="205"/>
      <c r="E25" s="205"/>
      <c r="F25" s="206"/>
    </row>
    <row r="26" spans="1:6" ht="28.5" customHeight="1" x14ac:dyDescent="0.3">
      <c r="A26" s="146" t="s">
        <v>61</v>
      </c>
      <c r="B26" s="204" t="s">
        <v>157</v>
      </c>
      <c r="C26" s="205"/>
      <c r="D26" s="205"/>
      <c r="E26" s="205"/>
      <c r="F26" s="206"/>
    </row>
    <row r="27" spans="1:6" ht="28" x14ac:dyDescent="0.3">
      <c r="A27" s="146" t="s">
        <v>60</v>
      </c>
      <c r="B27" s="204" t="s">
        <v>158</v>
      </c>
      <c r="C27" s="205"/>
      <c r="D27" s="205"/>
      <c r="E27" s="205"/>
      <c r="F27" s="206"/>
    </row>
  </sheetData>
  <mergeCells count="26">
    <mergeCell ref="B27:F27"/>
    <mergeCell ref="B21:F21"/>
    <mergeCell ref="B22:F22"/>
    <mergeCell ref="B23:F23"/>
    <mergeCell ref="B24:F24"/>
    <mergeCell ref="B25:F25"/>
    <mergeCell ref="B26:F26"/>
    <mergeCell ref="B20:F20"/>
    <mergeCell ref="B9:F9"/>
    <mergeCell ref="B10:F10"/>
    <mergeCell ref="B11:F11"/>
    <mergeCell ref="B12:F12"/>
    <mergeCell ref="B13:F13"/>
    <mergeCell ref="B14:F14"/>
    <mergeCell ref="B15:F15"/>
    <mergeCell ref="B16:F16"/>
    <mergeCell ref="B17:F17"/>
    <mergeCell ref="B18:F18"/>
    <mergeCell ref="B19:F19"/>
    <mergeCell ref="B8:F8"/>
    <mergeCell ref="A1:A3"/>
    <mergeCell ref="A6:F6"/>
    <mergeCell ref="B7:F7"/>
    <mergeCell ref="A4:F4"/>
    <mergeCell ref="A5:F5"/>
    <mergeCell ref="B1:D3"/>
  </mergeCells>
  <pageMargins left="0.7" right="0.7" top="0.75" bottom="0.75" header="0.3" footer="0.3"/>
  <pageSetup scale="50"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G24"/>
  <sheetViews>
    <sheetView zoomScale="125" zoomScaleNormal="125" zoomScalePageLayoutView="125" workbookViewId="0">
      <selection activeCell="B21" sqref="B21"/>
    </sheetView>
  </sheetViews>
  <sheetFormatPr baseColWidth="10" defaultColWidth="11.453125" defaultRowHeight="14.5" x14ac:dyDescent="0.35"/>
  <cols>
    <col min="1" max="1" width="3.453125" style="2" customWidth="1"/>
    <col min="2" max="2" width="29.26953125" style="2" customWidth="1"/>
    <col min="3" max="4" width="31.1796875" style="2" customWidth="1"/>
    <col min="5" max="5" width="17" style="2" customWidth="1"/>
    <col min="6" max="6" width="13.7265625" style="2" customWidth="1"/>
    <col min="7" max="239" width="11.453125" style="2"/>
    <col min="240" max="240" width="14.453125" style="2" customWidth="1"/>
    <col min="241" max="241" width="38" style="2" customWidth="1"/>
    <col min="242" max="242" width="31.453125" style="2" customWidth="1"/>
    <col min="243" max="243" width="21.453125" style="2" customWidth="1"/>
    <col min="244" max="244" width="19" style="2" customWidth="1"/>
    <col min="245" max="245" width="14" style="2" customWidth="1"/>
    <col min="246" max="246" width="19.1796875" style="2" customWidth="1"/>
    <col min="247" max="247" width="15.81640625" style="2" customWidth="1"/>
    <col min="248" max="249" width="11.453125" style="2"/>
    <col min="250" max="250" width="12.81640625" style="2" customWidth="1"/>
    <col min="251" max="251" width="11.453125" style="2" customWidth="1"/>
    <col min="252" max="252" width="14.453125" style="2" customWidth="1"/>
    <col min="253" max="495" width="11.453125" style="2"/>
    <col min="496" max="496" width="14.453125" style="2" customWidth="1"/>
    <col min="497" max="497" width="38" style="2" customWidth="1"/>
    <col min="498" max="498" width="31.453125" style="2" customWidth="1"/>
    <col min="499" max="499" width="21.453125" style="2" customWidth="1"/>
    <col min="500" max="500" width="19" style="2" customWidth="1"/>
    <col min="501" max="501" width="14" style="2" customWidth="1"/>
    <col min="502" max="502" width="19.1796875" style="2" customWidth="1"/>
    <col min="503" max="503" width="15.81640625" style="2" customWidth="1"/>
    <col min="504" max="505" width="11.453125" style="2"/>
    <col min="506" max="506" width="12.81640625" style="2" customWidth="1"/>
    <col min="507" max="507" width="11.453125" style="2" customWidth="1"/>
    <col min="508" max="508" width="14.453125" style="2" customWidth="1"/>
    <col min="509" max="751" width="11.453125" style="2"/>
    <col min="752" max="752" width="14.453125" style="2" customWidth="1"/>
    <col min="753" max="753" width="38" style="2" customWidth="1"/>
    <col min="754" max="754" width="31.453125" style="2" customWidth="1"/>
    <col min="755" max="755" width="21.453125" style="2" customWidth="1"/>
    <col min="756" max="756" width="19" style="2" customWidth="1"/>
    <col min="757" max="757" width="14" style="2" customWidth="1"/>
    <col min="758" max="758" width="19.1796875" style="2" customWidth="1"/>
    <col min="759" max="759" width="15.81640625" style="2" customWidth="1"/>
    <col min="760" max="761" width="11.453125" style="2"/>
    <col min="762" max="762" width="12.81640625" style="2" customWidth="1"/>
    <col min="763" max="763" width="11.453125" style="2" customWidth="1"/>
    <col min="764" max="764" width="14.453125" style="2" customWidth="1"/>
    <col min="765" max="1007" width="11.453125" style="2"/>
    <col min="1008" max="1008" width="14.453125" style="2" customWidth="1"/>
    <col min="1009" max="1009" width="38" style="2" customWidth="1"/>
    <col min="1010" max="1010" width="31.453125" style="2" customWidth="1"/>
    <col min="1011" max="1011" width="21.453125" style="2" customWidth="1"/>
    <col min="1012" max="1012" width="19" style="2" customWidth="1"/>
    <col min="1013" max="1013" width="14" style="2" customWidth="1"/>
    <col min="1014" max="1014" width="19.1796875" style="2" customWidth="1"/>
    <col min="1015" max="1015" width="15.81640625" style="2" customWidth="1"/>
    <col min="1016" max="1017" width="11.453125" style="2"/>
    <col min="1018" max="1018" width="12.81640625" style="2" customWidth="1"/>
    <col min="1019" max="1019" width="11.453125" style="2" customWidth="1"/>
    <col min="1020" max="1020" width="14.453125" style="2" customWidth="1"/>
    <col min="1021" max="1263" width="11.453125" style="2"/>
    <col min="1264" max="1264" width="14.453125" style="2" customWidth="1"/>
    <col min="1265" max="1265" width="38" style="2" customWidth="1"/>
    <col min="1266" max="1266" width="31.453125" style="2" customWidth="1"/>
    <col min="1267" max="1267" width="21.453125" style="2" customWidth="1"/>
    <col min="1268" max="1268" width="19" style="2" customWidth="1"/>
    <col min="1269" max="1269" width="14" style="2" customWidth="1"/>
    <col min="1270" max="1270" width="19.1796875" style="2" customWidth="1"/>
    <col min="1271" max="1271" width="15.81640625" style="2" customWidth="1"/>
    <col min="1272" max="1273" width="11.453125" style="2"/>
    <col min="1274" max="1274" width="12.81640625" style="2" customWidth="1"/>
    <col min="1275" max="1275" width="11.453125" style="2" customWidth="1"/>
    <col min="1276" max="1276" width="14.453125" style="2" customWidth="1"/>
    <col min="1277" max="1519" width="11.453125" style="2"/>
    <col min="1520" max="1520" width="14.453125" style="2" customWidth="1"/>
    <col min="1521" max="1521" width="38" style="2" customWidth="1"/>
    <col min="1522" max="1522" width="31.453125" style="2" customWidth="1"/>
    <col min="1523" max="1523" width="21.453125" style="2" customWidth="1"/>
    <col min="1524" max="1524" width="19" style="2" customWidth="1"/>
    <col min="1525" max="1525" width="14" style="2" customWidth="1"/>
    <col min="1526" max="1526" width="19.1796875" style="2" customWidth="1"/>
    <col min="1527" max="1527" width="15.81640625" style="2" customWidth="1"/>
    <col min="1528" max="1529" width="11.453125" style="2"/>
    <col min="1530" max="1530" width="12.81640625" style="2" customWidth="1"/>
    <col min="1531" max="1531" width="11.453125" style="2" customWidth="1"/>
    <col min="1532" max="1532" width="14.453125" style="2" customWidth="1"/>
    <col min="1533" max="1775" width="11.453125" style="2"/>
    <col min="1776" max="1776" width="14.453125" style="2" customWidth="1"/>
    <col min="1777" max="1777" width="38" style="2" customWidth="1"/>
    <col min="1778" max="1778" width="31.453125" style="2" customWidth="1"/>
    <col min="1779" max="1779" width="21.453125" style="2" customWidth="1"/>
    <col min="1780" max="1780" width="19" style="2" customWidth="1"/>
    <col min="1781" max="1781" width="14" style="2" customWidth="1"/>
    <col min="1782" max="1782" width="19.1796875" style="2" customWidth="1"/>
    <col min="1783" max="1783" width="15.81640625" style="2" customWidth="1"/>
    <col min="1784" max="1785" width="11.453125" style="2"/>
    <col min="1786" max="1786" width="12.81640625" style="2" customWidth="1"/>
    <col min="1787" max="1787" width="11.453125" style="2" customWidth="1"/>
    <col min="1788" max="1788" width="14.453125" style="2" customWidth="1"/>
    <col min="1789" max="2031" width="11.453125" style="2"/>
    <col min="2032" max="2032" width="14.453125" style="2" customWidth="1"/>
    <col min="2033" max="2033" width="38" style="2" customWidth="1"/>
    <col min="2034" max="2034" width="31.453125" style="2" customWidth="1"/>
    <col min="2035" max="2035" width="21.453125" style="2" customWidth="1"/>
    <col min="2036" max="2036" width="19" style="2" customWidth="1"/>
    <col min="2037" max="2037" width="14" style="2" customWidth="1"/>
    <col min="2038" max="2038" width="19.1796875" style="2" customWidth="1"/>
    <col min="2039" max="2039" width="15.81640625" style="2" customWidth="1"/>
    <col min="2040" max="2041" width="11.453125" style="2"/>
    <col min="2042" max="2042" width="12.81640625" style="2" customWidth="1"/>
    <col min="2043" max="2043" width="11.453125" style="2" customWidth="1"/>
    <col min="2044" max="2044" width="14.453125" style="2" customWidth="1"/>
    <col min="2045" max="2287" width="11.453125" style="2"/>
    <col min="2288" max="2288" width="14.453125" style="2" customWidth="1"/>
    <col min="2289" max="2289" width="38" style="2" customWidth="1"/>
    <col min="2290" max="2290" width="31.453125" style="2" customWidth="1"/>
    <col min="2291" max="2291" width="21.453125" style="2" customWidth="1"/>
    <col min="2292" max="2292" width="19" style="2" customWidth="1"/>
    <col min="2293" max="2293" width="14" style="2" customWidth="1"/>
    <col min="2294" max="2294" width="19.1796875" style="2" customWidth="1"/>
    <col min="2295" max="2295" width="15.81640625" style="2" customWidth="1"/>
    <col min="2296" max="2297" width="11.453125" style="2"/>
    <col min="2298" max="2298" width="12.81640625" style="2" customWidth="1"/>
    <col min="2299" max="2299" width="11.453125" style="2" customWidth="1"/>
    <col min="2300" max="2300" width="14.453125" style="2" customWidth="1"/>
    <col min="2301" max="2543" width="11.453125" style="2"/>
    <col min="2544" max="2544" width="14.453125" style="2" customWidth="1"/>
    <col min="2545" max="2545" width="38" style="2" customWidth="1"/>
    <col min="2546" max="2546" width="31.453125" style="2" customWidth="1"/>
    <col min="2547" max="2547" width="21.453125" style="2" customWidth="1"/>
    <col min="2548" max="2548" width="19" style="2" customWidth="1"/>
    <col min="2549" max="2549" width="14" style="2" customWidth="1"/>
    <col min="2550" max="2550" width="19.1796875" style="2" customWidth="1"/>
    <col min="2551" max="2551" width="15.81640625" style="2" customWidth="1"/>
    <col min="2552" max="2553" width="11.453125" style="2"/>
    <col min="2554" max="2554" width="12.81640625" style="2" customWidth="1"/>
    <col min="2555" max="2555" width="11.453125" style="2" customWidth="1"/>
    <col min="2556" max="2556" width="14.453125" style="2" customWidth="1"/>
    <col min="2557" max="2799" width="11.453125" style="2"/>
    <col min="2800" max="2800" width="14.453125" style="2" customWidth="1"/>
    <col min="2801" max="2801" width="38" style="2" customWidth="1"/>
    <col min="2802" max="2802" width="31.453125" style="2" customWidth="1"/>
    <col min="2803" max="2803" width="21.453125" style="2" customWidth="1"/>
    <col min="2804" max="2804" width="19" style="2" customWidth="1"/>
    <col min="2805" max="2805" width="14" style="2" customWidth="1"/>
    <col min="2806" max="2806" width="19.1796875" style="2" customWidth="1"/>
    <col min="2807" max="2807" width="15.81640625" style="2" customWidth="1"/>
    <col min="2808" max="2809" width="11.453125" style="2"/>
    <col min="2810" max="2810" width="12.81640625" style="2" customWidth="1"/>
    <col min="2811" max="2811" width="11.453125" style="2" customWidth="1"/>
    <col min="2812" max="2812" width="14.453125" style="2" customWidth="1"/>
    <col min="2813" max="3055" width="11.453125" style="2"/>
    <col min="3056" max="3056" width="14.453125" style="2" customWidth="1"/>
    <col min="3057" max="3057" width="38" style="2" customWidth="1"/>
    <col min="3058" max="3058" width="31.453125" style="2" customWidth="1"/>
    <col min="3059" max="3059" width="21.453125" style="2" customWidth="1"/>
    <col min="3060" max="3060" width="19" style="2" customWidth="1"/>
    <col min="3061" max="3061" width="14" style="2" customWidth="1"/>
    <col min="3062" max="3062" width="19.1796875" style="2" customWidth="1"/>
    <col min="3063" max="3063" width="15.81640625" style="2" customWidth="1"/>
    <col min="3064" max="3065" width="11.453125" style="2"/>
    <col min="3066" max="3066" width="12.81640625" style="2" customWidth="1"/>
    <col min="3067" max="3067" width="11.453125" style="2" customWidth="1"/>
    <col min="3068" max="3068" width="14.453125" style="2" customWidth="1"/>
    <col min="3069" max="3311" width="11.453125" style="2"/>
    <col min="3312" max="3312" width="14.453125" style="2" customWidth="1"/>
    <col min="3313" max="3313" width="38" style="2" customWidth="1"/>
    <col min="3314" max="3314" width="31.453125" style="2" customWidth="1"/>
    <col min="3315" max="3315" width="21.453125" style="2" customWidth="1"/>
    <col min="3316" max="3316" width="19" style="2" customWidth="1"/>
    <col min="3317" max="3317" width="14" style="2" customWidth="1"/>
    <col min="3318" max="3318" width="19.1796875" style="2" customWidth="1"/>
    <col min="3319" max="3319" width="15.81640625" style="2" customWidth="1"/>
    <col min="3320" max="3321" width="11.453125" style="2"/>
    <col min="3322" max="3322" width="12.81640625" style="2" customWidth="1"/>
    <col min="3323" max="3323" width="11.453125" style="2" customWidth="1"/>
    <col min="3324" max="3324" width="14.453125" style="2" customWidth="1"/>
    <col min="3325" max="3567" width="11.453125" style="2"/>
    <col min="3568" max="3568" width="14.453125" style="2" customWidth="1"/>
    <col min="3569" max="3569" width="38" style="2" customWidth="1"/>
    <col min="3570" max="3570" width="31.453125" style="2" customWidth="1"/>
    <col min="3571" max="3571" width="21.453125" style="2" customWidth="1"/>
    <col min="3572" max="3572" width="19" style="2" customWidth="1"/>
    <col min="3573" max="3573" width="14" style="2" customWidth="1"/>
    <col min="3574" max="3574" width="19.1796875" style="2" customWidth="1"/>
    <col min="3575" max="3575" width="15.81640625" style="2" customWidth="1"/>
    <col min="3576" max="3577" width="11.453125" style="2"/>
    <col min="3578" max="3578" width="12.81640625" style="2" customWidth="1"/>
    <col min="3579" max="3579" width="11.453125" style="2" customWidth="1"/>
    <col min="3580" max="3580" width="14.453125" style="2" customWidth="1"/>
    <col min="3581" max="3823" width="11.453125" style="2"/>
    <col min="3824" max="3824" width="14.453125" style="2" customWidth="1"/>
    <col min="3825" max="3825" width="38" style="2" customWidth="1"/>
    <col min="3826" max="3826" width="31.453125" style="2" customWidth="1"/>
    <col min="3827" max="3827" width="21.453125" style="2" customWidth="1"/>
    <col min="3828" max="3828" width="19" style="2" customWidth="1"/>
    <col min="3829" max="3829" width="14" style="2" customWidth="1"/>
    <col min="3830" max="3830" width="19.1796875" style="2" customWidth="1"/>
    <col min="3831" max="3831" width="15.81640625" style="2" customWidth="1"/>
    <col min="3832" max="3833" width="11.453125" style="2"/>
    <col min="3834" max="3834" width="12.81640625" style="2" customWidth="1"/>
    <col min="3835" max="3835" width="11.453125" style="2" customWidth="1"/>
    <col min="3836" max="3836" width="14.453125" style="2" customWidth="1"/>
    <col min="3837" max="4079" width="11.453125" style="2"/>
    <col min="4080" max="4080" width="14.453125" style="2" customWidth="1"/>
    <col min="4081" max="4081" width="38" style="2" customWidth="1"/>
    <col min="4082" max="4082" width="31.453125" style="2" customWidth="1"/>
    <col min="4083" max="4083" width="21.453125" style="2" customWidth="1"/>
    <col min="4084" max="4084" width="19" style="2" customWidth="1"/>
    <col min="4085" max="4085" width="14" style="2" customWidth="1"/>
    <col min="4086" max="4086" width="19.1796875" style="2" customWidth="1"/>
    <col min="4087" max="4087" width="15.81640625" style="2" customWidth="1"/>
    <col min="4088" max="4089" width="11.453125" style="2"/>
    <col min="4090" max="4090" width="12.81640625" style="2" customWidth="1"/>
    <col min="4091" max="4091" width="11.453125" style="2" customWidth="1"/>
    <col min="4092" max="4092" width="14.453125" style="2" customWidth="1"/>
    <col min="4093" max="4335" width="11.453125" style="2"/>
    <col min="4336" max="4336" width="14.453125" style="2" customWidth="1"/>
    <col min="4337" max="4337" width="38" style="2" customWidth="1"/>
    <col min="4338" max="4338" width="31.453125" style="2" customWidth="1"/>
    <col min="4339" max="4339" width="21.453125" style="2" customWidth="1"/>
    <col min="4340" max="4340" width="19" style="2" customWidth="1"/>
    <col min="4341" max="4341" width="14" style="2" customWidth="1"/>
    <col min="4342" max="4342" width="19.1796875" style="2" customWidth="1"/>
    <col min="4343" max="4343" width="15.81640625" style="2" customWidth="1"/>
    <col min="4344" max="4345" width="11.453125" style="2"/>
    <col min="4346" max="4346" width="12.81640625" style="2" customWidth="1"/>
    <col min="4347" max="4347" width="11.453125" style="2" customWidth="1"/>
    <col min="4348" max="4348" width="14.453125" style="2" customWidth="1"/>
    <col min="4349" max="4591" width="11.453125" style="2"/>
    <col min="4592" max="4592" width="14.453125" style="2" customWidth="1"/>
    <col min="4593" max="4593" width="38" style="2" customWidth="1"/>
    <col min="4594" max="4594" width="31.453125" style="2" customWidth="1"/>
    <col min="4595" max="4595" width="21.453125" style="2" customWidth="1"/>
    <col min="4596" max="4596" width="19" style="2" customWidth="1"/>
    <col min="4597" max="4597" width="14" style="2" customWidth="1"/>
    <col min="4598" max="4598" width="19.1796875" style="2" customWidth="1"/>
    <col min="4599" max="4599" width="15.81640625" style="2" customWidth="1"/>
    <col min="4600" max="4601" width="11.453125" style="2"/>
    <col min="4602" max="4602" width="12.81640625" style="2" customWidth="1"/>
    <col min="4603" max="4603" width="11.453125" style="2" customWidth="1"/>
    <col min="4604" max="4604" width="14.453125" style="2" customWidth="1"/>
    <col min="4605" max="4847" width="11.453125" style="2"/>
    <col min="4848" max="4848" width="14.453125" style="2" customWidth="1"/>
    <col min="4849" max="4849" width="38" style="2" customWidth="1"/>
    <col min="4850" max="4850" width="31.453125" style="2" customWidth="1"/>
    <col min="4851" max="4851" width="21.453125" style="2" customWidth="1"/>
    <col min="4852" max="4852" width="19" style="2" customWidth="1"/>
    <col min="4853" max="4853" width="14" style="2" customWidth="1"/>
    <col min="4854" max="4854" width="19.1796875" style="2" customWidth="1"/>
    <col min="4855" max="4855" width="15.81640625" style="2" customWidth="1"/>
    <col min="4856" max="4857" width="11.453125" style="2"/>
    <col min="4858" max="4858" width="12.81640625" style="2" customWidth="1"/>
    <col min="4859" max="4859" width="11.453125" style="2" customWidth="1"/>
    <col min="4860" max="4860" width="14.453125" style="2" customWidth="1"/>
    <col min="4861" max="5103" width="11.453125" style="2"/>
    <col min="5104" max="5104" width="14.453125" style="2" customWidth="1"/>
    <col min="5105" max="5105" width="38" style="2" customWidth="1"/>
    <col min="5106" max="5106" width="31.453125" style="2" customWidth="1"/>
    <col min="5107" max="5107" width="21.453125" style="2" customWidth="1"/>
    <col min="5108" max="5108" width="19" style="2" customWidth="1"/>
    <col min="5109" max="5109" width="14" style="2" customWidth="1"/>
    <col min="5110" max="5110" width="19.1796875" style="2" customWidth="1"/>
    <col min="5111" max="5111" width="15.81640625" style="2" customWidth="1"/>
    <col min="5112" max="5113" width="11.453125" style="2"/>
    <col min="5114" max="5114" width="12.81640625" style="2" customWidth="1"/>
    <col min="5115" max="5115" width="11.453125" style="2" customWidth="1"/>
    <col min="5116" max="5116" width="14.453125" style="2" customWidth="1"/>
    <col min="5117" max="5359" width="11.453125" style="2"/>
    <col min="5360" max="5360" width="14.453125" style="2" customWidth="1"/>
    <col min="5361" max="5361" width="38" style="2" customWidth="1"/>
    <col min="5362" max="5362" width="31.453125" style="2" customWidth="1"/>
    <col min="5363" max="5363" width="21.453125" style="2" customWidth="1"/>
    <col min="5364" max="5364" width="19" style="2" customWidth="1"/>
    <col min="5365" max="5365" width="14" style="2" customWidth="1"/>
    <col min="5366" max="5366" width="19.1796875" style="2" customWidth="1"/>
    <col min="5367" max="5367" width="15.81640625" style="2" customWidth="1"/>
    <col min="5368" max="5369" width="11.453125" style="2"/>
    <col min="5370" max="5370" width="12.81640625" style="2" customWidth="1"/>
    <col min="5371" max="5371" width="11.453125" style="2" customWidth="1"/>
    <col min="5372" max="5372" width="14.453125" style="2" customWidth="1"/>
    <col min="5373" max="5615" width="11.453125" style="2"/>
    <col min="5616" max="5616" width="14.453125" style="2" customWidth="1"/>
    <col min="5617" max="5617" width="38" style="2" customWidth="1"/>
    <col min="5618" max="5618" width="31.453125" style="2" customWidth="1"/>
    <col min="5619" max="5619" width="21.453125" style="2" customWidth="1"/>
    <col min="5620" max="5620" width="19" style="2" customWidth="1"/>
    <col min="5621" max="5621" width="14" style="2" customWidth="1"/>
    <col min="5622" max="5622" width="19.1796875" style="2" customWidth="1"/>
    <col min="5623" max="5623" width="15.81640625" style="2" customWidth="1"/>
    <col min="5624" max="5625" width="11.453125" style="2"/>
    <col min="5626" max="5626" width="12.81640625" style="2" customWidth="1"/>
    <col min="5627" max="5627" width="11.453125" style="2" customWidth="1"/>
    <col min="5628" max="5628" width="14.453125" style="2" customWidth="1"/>
    <col min="5629" max="5871" width="11.453125" style="2"/>
    <col min="5872" max="5872" width="14.453125" style="2" customWidth="1"/>
    <col min="5873" max="5873" width="38" style="2" customWidth="1"/>
    <col min="5874" max="5874" width="31.453125" style="2" customWidth="1"/>
    <col min="5875" max="5875" width="21.453125" style="2" customWidth="1"/>
    <col min="5876" max="5876" width="19" style="2" customWidth="1"/>
    <col min="5877" max="5877" width="14" style="2" customWidth="1"/>
    <col min="5878" max="5878" width="19.1796875" style="2" customWidth="1"/>
    <col min="5879" max="5879" width="15.81640625" style="2" customWidth="1"/>
    <col min="5880" max="5881" width="11.453125" style="2"/>
    <col min="5882" max="5882" width="12.81640625" style="2" customWidth="1"/>
    <col min="5883" max="5883" width="11.453125" style="2" customWidth="1"/>
    <col min="5884" max="5884" width="14.453125" style="2" customWidth="1"/>
    <col min="5885" max="6127" width="11.453125" style="2"/>
    <col min="6128" max="6128" width="14.453125" style="2" customWidth="1"/>
    <col min="6129" max="6129" width="38" style="2" customWidth="1"/>
    <col min="6130" max="6130" width="31.453125" style="2" customWidth="1"/>
    <col min="6131" max="6131" width="21.453125" style="2" customWidth="1"/>
    <col min="6132" max="6132" width="19" style="2" customWidth="1"/>
    <col min="6133" max="6133" width="14" style="2" customWidth="1"/>
    <col min="6134" max="6134" width="19.1796875" style="2" customWidth="1"/>
    <col min="6135" max="6135" width="15.81640625" style="2" customWidth="1"/>
    <col min="6136" max="6137" width="11.453125" style="2"/>
    <col min="6138" max="6138" width="12.81640625" style="2" customWidth="1"/>
    <col min="6139" max="6139" width="11.453125" style="2" customWidth="1"/>
    <col min="6140" max="6140" width="14.453125" style="2" customWidth="1"/>
    <col min="6141" max="6383" width="11.453125" style="2"/>
    <col min="6384" max="6384" width="14.453125" style="2" customWidth="1"/>
    <col min="6385" max="6385" width="38" style="2" customWidth="1"/>
    <col min="6386" max="6386" width="31.453125" style="2" customWidth="1"/>
    <col min="6387" max="6387" width="21.453125" style="2" customWidth="1"/>
    <col min="6388" max="6388" width="19" style="2" customWidth="1"/>
    <col min="6389" max="6389" width="14" style="2" customWidth="1"/>
    <col min="6390" max="6390" width="19.1796875" style="2" customWidth="1"/>
    <col min="6391" max="6391" width="15.81640625" style="2" customWidth="1"/>
    <col min="6392" max="6393" width="11.453125" style="2"/>
    <col min="6394" max="6394" width="12.81640625" style="2" customWidth="1"/>
    <col min="6395" max="6395" width="11.453125" style="2" customWidth="1"/>
    <col min="6396" max="6396" width="14.453125" style="2" customWidth="1"/>
    <col min="6397" max="6639" width="11.453125" style="2"/>
    <col min="6640" max="6640" width="14.453125" style="2" customWidth="1"/>
    <col min="6641" max="6641" width="38" style="2" customWidth="1"/>
    <col min="6642" max="6642" width="31.453125" style="2" customWidth="1"/>
    <col min="6643" max="6643" width="21.453125" style="2" customWidth="1"/>
    <col min="6644" max="6644" width="19" style="2" customWidth="1"/>
    <col min="6645" max="6645" width="14" style="2" customWidth="1"/>
    <col min="6646" max="6646" width="19.1796875" style="2" customWidth="1"/>
    <col min="6647" max="6647" width="15.81640625" style="2" customWidth="1"/>
    <col min="6648" max="6649" width="11.453125" style="2"/>
    <col min="6650" max="6650" width="12.81640625" style="2" customWidth="1"/>
    <col min="6651" max="6651" width="11.453125" style="2" customWidth="1"/>
    <col min="6652" max="6652" width="14.453125" style="2" customWidth="1"/>
    <col min="6653" max="6895" width="11.453125" style="2"/>
    <col min="6896" max="6896" width="14.453125" style="2" customWidth="1"/>
    <col min="6897" max="6897" width="38" style="2" customWidth="1"/>
    <col min="6898" max="6898" width="31.453125" style="2" customWidth="1"/>
    <col min="6899" max="6899" width="21.453125" style="2" customWidth="1"/>
    <col min="6900" max="6900" width="19" style="2" customWidth="1"/>
    <col min="6901" max="6901" width="14" style="2" customWidth="1"/>
    <col min="6902" max="6902" width="19.1796875" style="2" customWidth="1"/>
    <col min="6903" max="6903" width="15.81640625" style="2" customWidth="1"/>
    <col min="6904" max="6905" width="11.453125" style="2"/>
    <col min="6906" max="6906" width="12.81640625" style="2" customWidth="1"/>
    <col min="6907" max="6907" width="11.453125" style="2" customWidth="1"/>
    <col min="6908" max="6908" width="14.453125" style="2" customWidth="1"/>
    <col min="6909" max="7151" width="11.453125" style="2"/>
    <col min="7152" max="7152" width="14.453125" style="2" customWidth="1"/>
    <col min="7153" max="7153" width="38" style="2" customWidth="1"/>
    <col min="7154" max="7154" width="31.453125" style="2" customWidth="1"/>
    <col min="7155" max="7155" width="21.453125" style="2" customWidth="1"/>
    <col min="7156" max="7156" width="19" style="2" customWidth="1"/>
    <col min="7157" max="7157" width="14" style="2" customWidth="1"/>
    <col min="7158" max="7158" width="19.1796875" style="2" customWidth="1"/>
    <col min="7159" max="7159" width="15.81640625" style="2" customWidth="1"/>
    <col min="7160" max="7161" width="11.453125" style="2"/>
    <col min="7162" max="7162" width="12.81640625" style="2" customWidth="1"/>
    <col min="7163" max="7163" width="11.453125" style="2" customWidth="1"/>
    <col min="7164" max="7164" width="14.453125" style="2" customWidth="1"/>
    <col min="7165" max="7407" width="11.453125" style="2"/>
    <col min="7408" max="7408" width="14.453125" style="2" customWidth="1"/>
    <col min="7409" max="7409" width="38" style="2" customWidth="1"/>
    <col min="7410" max="7410" width="31.453125" style="2" customWidth="1"/>
    <col min="7411" max="7411" width="21.453125" style="2" customWidth="1"/>
    <col min="7412" max="7412" width="19" style="2" customWidth="1"/>
    <col min="7413" max="7413" width="14" style="2" customWidth="1"/>
    <col min="7414" max="7414" width="19.1796875" style="2" customWidth="1"/>
    <col min="7415" max="7415" width="15.81640625" style="2" customWidth="1"/>
    <col min="7416" max="7417" width="11.453125" style="2"/>
    <col min="7418" max="7418" width="12.81640625" style="2" customWidth="1"/>
    <col min="7419" max="7419" width="11.453125" style="2" customWidth="1"/>
    <col min="7420" max="7420" width="14.453125" style="2" customWidth="1"/>
    <col min="7421" max="7663" width="11.453125" style="2"/>
    <col min="7664" max="7664" width="14.453125" style="2" customWidth="1"/>
    <col min="7665" max="7665" width="38" style="2" customWidth="1"/>
    <col min="7666" max="7666" width="31.453125" style="2" customWidth="1"/>
    <col min="7667" max="7667" width="21.453125" style="2" customWidth="1"/>
    <col min="7668" max="7668" width="19" style="2" customWidth="1"/>
    <col min="7669" max="7669" width="14" style="2" customWidth="1"/>
    <col min="7670" max="7670" width="19.1796875" style="2" customWidth="1"/>
    <col min="7671" max="7671" width="15.81640625" style="2" customWidth="1"/>
    <col min="7672" max="7673" width="11.453125" style="2"/>
    <col min="7674" max="7674" width="12.81640625" style="2" customWidth="1"/>
    <col min="7675" max="7675" width="11.453125" style="2" customWidth="1"/>
    <col min="7676" max="7676" width="14.453125" style="2" customWidth="1"/>
    <col min="7677" max="7919" width="11.453125" style="2"/>
    <col min="7920" max="7920" width="14.453125" style="2" customWidth="1"/>
    <col min="7921" max="7921" width="38" style="2" customWidth="1"/>
    <col min="7922" max="7922" width="31.453125" style="2" customWidth="1"/>
    <col min="7923" max="7923" width="21.453125" style="2" customWidth="1"/>
    <col min="7924" max="7924" width="19" style="2" customWidth="1"/>
    <col min="7925" max="7925" width="14" style="2" customWidth="1"/>
    <col min="7926" max="7926" width="19.1796875" style="2" customWidth="1"/>
    <col min="7927" max="7927" width="15.81640625" style="2" customWidth="1"/>
    <col min="7928" max="7929" width="11.453125" style="2"/>
    <col min="7930" max="7930" width="12.81640625" style="2" customWidth="1"/>
    <col min="7931" max="7931" width="11.453125" style="2" customWidth="1"/>
    <col min="7932" max="7932" width="14.453125" style="2" customWidth="1"/>
    <col min="7933" max="8175" width="11.453125" style="2"/>
    <col min="8176" max="8176" width="14.453125" style="2" customWidth="1"/>
    <col min="8177" max="8177" width="38" style="2" customWidth="1"/>
    <col min="8178" max="8178" width="31.453125" style="2" customWidth="1"/>
    <col min="8179" max="8179" width="21.453125" style="2" customWidth="1"/>
    <col min="8180" max="8180" width="19" style="2" customWidth="1"/>
    <col min="8181" max="8181" width="14" style="2" customWidth="1"/>
    <col min="8182" max="8182" width="19.1796875" style="2" customWidth="1"/>
    <col min="8183" max="8183" width="15.81640625" style="2" customWidth="1"/>
    <col min="8184" max="8185" width="11.453125" style="2"/>
    <col min="8186" max="8186" width="12.81640625" style="2" customWidth="1"/>
    <col min="8187" max="8187" width="11.453125" style="2" customWidth="1"/>
    <col min="8188" max="8188" width="14.453125" style="2" customWidth="1"/>
    <col min="8189" max="8431" width="11.453125" style="2"/>
    <col min="8432" max="8432" width="14.453125" style="2" customWidth="1"/>
    <col min="8433" max="8433" width="38" style="2" customWidth="1"/>
    <col min="8434" max="8434" width="31.453125" style="2" customWidth="1"/>
    <col min="8435" max="8435" width="21.453125" style="2" customWidth="1"/>
    <col min="8436" max="8436" width="19" style="2" customWidth="1"/>
    <col min="8437" max="8437" width="14" style="2" customWidth="1"/>
    <col min="8438" max="8438" width="19.1796875" style="2" customWidth="1"/>
    <col min="8439" max="8439" width="15.81640625" style="2" customWidth="1"/>
    <col min="8440" max="8441" width="11.453125" style="2"/>
    <col min="8442" max="8442" width="12.81640625" style="2" customWidth="1"/>
    <col min="8443" max="8443" width="11.453125" style="2" customWidth="1"/>
    <col min="8444" max="8444" width="14.453125" style="2" customWidth="1"/>
    <col min="8445" max="8687" width="11.453125" style="2"/>
    <col min="8688" max="8688" width="14.453125" style="2" customWidth="1"/>
    <col min="8689" max="8689" width="38" style="2" customWidth="1"/>
    <col min="8690" max="8690" width="31.453125" style="2" customWidth="1"/>
    <col min="8691" max="8691" width="21.453125" style="2" customWidth="1"/>
    <col min="8692" max="8692" width="19" style="2" customWidth="1"/>
    <col min="8693" max="8693" width="14" style="2" customWidth="1"/>
    <col min="8694" max="8694" width="19.1796875" style="2" customWidth="1"/>
    <col min="8695" max="8695" width="15.81640625" style="2" customWidth="1"/>
    <col min="8696" max="8697" width="11.453125" style="2"/>
    <col min="8698" max="8698" width="12.81640625" style="2" customWidth="1"/>
    <col min="8699" max="8699" width="11.453125" style="2" customWidth="1"/>
    <col min="8700" max="8700" width="14.453125" style="2" customWidth="1"/>
    <col min="8701" max="8943" width="11.453125" style="2"/>
    <col min="8944" max="8944" width="14.453125" style="2" customWidth="1"/>
    <col min="8945" max="8945" width="38" style="2" customWidth="1"/>
    <col min="8946" max="8946" width="31.453125" style="2" customWidth="1"/>
    <col min="8947" max="8947" width="21.453125" style="2" customWidth="1"/>
    <col min="8948" max="8948" width="19" style="2" customWidth="1"/>
    <col min="8949" max="8949" width="14" style="2" customWidth="1"/>
    <col min="8950" max="8950" width="19.1796875" style="2" customWidth="1"/>
    <col min="8951" max="8951" width="15.81640625" style="2" customWidth="1"/>
    <col min="8952" max="8953" width="11.453125" style="2"/>
    <col min="8954" max="8954" width="12.81640625" style="2" customWidth="1"/>
    <col min="8955" max="8955" width="11.453125" style="2" customWidth="1"/>
    <col min="8956" max="8956" width="14.453125" style="2" customWidth="1"/>
    <col min="8957" max="9199" width="11.453125" style="2"/>
    <col min="9200" max="9200" width="14.453125" style="2" customWidth="1"/>
    <col min="9201" max="9201" width="38" style="2" customWidth="1"/>
    <col min="9202" max="9202" width="31.453125" style="2" customWidth="1"/>
    <col min="9203" max="9203" width="21.453125" style="2" customWidth="1"/>
    <col min="9204" max="9204" width="19" style="2" customWidth="1"/>
    <col min="9205" max="9205" width="14" style="2" customWidth="1"/>
    <col min="9206" max="9206" width="19.1796875" style="2" customWidth="1"/>
    <col min="9207" max="9207" width="15.81640625" style="2" customWidth="1"/>
    <col min="9208" max="9209" width="11.453125" style="2"/>
    <col min="9210" max="9210" width="12.81640625" style="2" customWidth="1"/>
    <col min="9211" max="9211" width="11.453125" style="2" customWidth="1"/>
    <col min="9212" max="9212" width="14.453125" style="2" customWidth="1"/>
    <col min="9213" max="9455" width="11.453125" style="2"/>
    <col min="9456" max="9456" width="14.453125" style="2" customWidth="1"/>
    <col min="9457" max="9457" width="38" style="2" customWidth="1"/>
    <col min="9458" max="9458" width="31.453125" style="2" customWidth="1"/>
    <col min="9459" max="9459" width="21.453125" style="2" customWidth="1"/>
    <col min="9460" max="9460" width="19" style="2" customWidth="1"/>
    <col min="9461" max="9461" width="14" style="2" customWidth="1"/>
    <col min="9462" max="9462" width="19.1796875" style="2" customWidth="1"/>
    <col min="9463" max="9463" width="15.81640625" style="2" customWidth="1"/>
    <col min="9464" max="9465" width="11.453125" style="2"/>
    <col min="9466" max="9466" width="12.81640625" style="2" customWidth="1"/>
    <col min="9467" max="9467" width="11.453125" style="2" customWidth="1"/>
    <col min="9468" max="9468" width="14.453125" style="2" customWidth="1"/>
    <col min="9469" max="9711" width="11.453125" style="2"/>
    <col min="9712" max="9712" width="14.453125" style="2" customWidth="1"/>
    <col min="9713" max="9713" width="38" style="2" customWidth="1"/>
    <col min="9714" max="9714" width="31.453125" style="2" customWidth="1"/>
    <col min="9715" max="9715" width="21.453125" style="2" customWidth="1"/>
    <col min="9716" max="9716" width="19" style="2" customWidth="1"/>
    <col min="9717" max="9717" width="14" style="2" customWidth="1"/>
    <col min="9718" max="9718" width="19.1796875" style="2" customWidth="1"/>
    <col min="9719" max="9719" width="15.81640625" style="2" customWidth="1"/>
    <col min="9720" max="9721" width="11.453125" style="2"/>
    <col min="9722" max="9722" width="12.81640625" style="2" customWidth="1"/>
    <col min="9723" max="9723" width="11.453125" style="2" customWidth="1"/>
    <col min="9724" max="9724" width="14.453125" style="2" customWidth="1"/>
    <col min="9725" max="9967" width="11.453125" style="2"/>
    <col min="9968" max="9968" width="14.453125" style="2" customWidth="1"/>
    <col min="9969" max="9969" width="38" style="2" customWidth="1"/>
    <col min="9970" max="9970" width="31.453125" style="2" customWidth="1"/>
    <col min="9971" max="9971" width="21.453125" style="2" customWidth="1"/>
    <col min="9972" max="9972" width="19" style="2" customWidth="1"/>
    <col min="9973" max="9973" width="14" style="2" customWidth="1"/>
    <col min="9974" max="9974" width="19.1796875" style="2" customWidth="1"/>
    <col min="9975" max="9975" width="15.81640625" style="2" customWidth="1"/>
    <col min="9976" max="9977" width="11.453125" style="2"/>
    <col min="9978" max="9978" width="12.81640625" style="2" customWidth="1"/>
    <col min="9979" max="9979" width="11.453125" style="2" customWidth="1"/>
    <col min="9980" max="9980" width="14.453125" style="2" customWidth="1"/>
    <col min="9981" max="10223" width="11.453125" style="2"/>
    <col min="10224" max="10224" width="14.453125" style="2" customWidth="1"/>
    <col min="10225" max="10225" width="38" style="2" customWidth="1"/>
    <col min="10226" max="10226" width="31.453125" style="2" customWidth="1"/>
    <col min="10227" max="10227" width="21.453125" style="2" customWidth="1"/>
    <col min="10228" max="10228" width="19" style="2" customWidth="1"/>
    <col min="10229" max="10229" width="14" style="2" customWidth="1"/>
    <col min="10230" max="10230" width="19.1796875" style="2" customWidth="1"/>
    <col min="10231" max="10231" width="15.81640625" style="2" customWidth="1"/>
    <col min="10232" max="10233" width="11.453125" style="2"/>
    <col min="10234" max="10234" width="12.81640625" style="2" customWidth="1"/>
    <col min="10235" max="10235" width="11.453125" style="2" customWidth="1"/>
    <col min="10236" max="10236" width="14.453125" style="2" customWidth="1"/>
    <col min="10237" max="10479" width="11.453125" style="2"/>
    <col min="10480" max="10480" width="14.453125" style="2" customWidth="1"/>
    <col min="10481" max="10481" width="38" style="2" customWidth="1"/>
    <col min="10482" max="10482" width="31.453125" style="2" customWidth="1"/>
    <col min="10483" max="10483" width="21.453125" style="2" customWidth="1"/>
    <col min="10484" max="10484" width="19" style="2" customWidth="1"/>
    <col min="10485" max="10485" width="14" style="2" customWidth="1"/>
    <col min="10486" max="10486" width="19.1796875" style="2" customWidth="1"/>
    <col min="10487" max="10487" width="15.81640625" style="2" customWidth="1"/>
    <col min="10488" max="10489" width="11.453125" style="2"/>
    <col min="10490" max="10490" width="12.81640625" style="2" customWidth="1"/>
    <col min="10491" max="10491" width="11.453125" style="2" customWidth="1"/>
    <col min="10492" max="10492" width="14.453125" style="2" customWidth="1"/>
    <col min="10493" max="10735" width="11.453125" style="2"/>
    <col min="10736" max="10736" width="14.453125" style="2" customWidth="1"/>
    <col min="10737" max="10737" width="38" style="2" customWidth="1"/>
    <col min="10738" max="10738" width="31.453125" style="2" customWidth="1"/>
    <col min="10739" max="10739" width="21.453125" style="2" customWidth="1"/>
    <col min="10740" max="10740" width="19" style="2" customWidth="1"/>
    <col min="10741" max="10741" width="14" style="2" customWidth="1"/>
    <col min="10742" max="10742" width="19.1796875" style="2" customWidth="1"/>
    <col min="10743" max="10743" width="15.81640625" style="2" customWidth="1"/>
    <col min="10744" max="10745" width="11.453125" style="2"/>
    <col min="10746" max="10746" width="12.81640625" style="2" customWidth="1"/>
    <col min="10747" max="10747" width="11.453125" style="2" customWidth="1"/>
    <col min="10748" max="10748" width="14.453125" style="2" customWidth="1"/>
    <col min="10749" max="10991" width="11.453125" style="2"/>
    <col min="10992" max="10992" width="14.453125" style="2" customWidth="1"/>
    <col min="10993" max="10993" width="38" style="2" customWidth="1"/>
    <col min="10994" max="10994" width="31.453125" style="2" customWidth="1"/>
    <col min="10995" max="10995" width="21.453125" style="2" customWidth="1"/>
    <col min="10996" max="10996" width="19" style="2" customWidth="1"/>
    <col min="10997" max="10997" width="14" style="2" customWidth="1"/>
    <col min="10998" max="10998" width="19.1796875" style="2" customWidth="1"/>
    <col min="10999" max="10999" width="15.81640625" style="2" customWidth="1"/>
    <col min="11000" max="11001" width="11.453125" style="2"/>
    <col min="11002" max="11002" width="12.81640625" style="2" customWidth="1"/>
    <col min="11003" max="11003" width="11.453125" style="2" customWidth="1"/>
    <col min="11004" max="11004" width="14.453125" style="2" customWidth="1"/>
    <col min="11005" max="11247" width="11.453125" style="2"/>
    <col min="11248" max="11248" width="14.453125" style="2" customWidth="1"/>
    <col min="11249" max="11249" width="38" style="2" customWidth="1"/>
    <col min="11250" max="11250" width="31.453125" style="2" customWidth="1"/>
    <col min="11251" max="11251" width="21.453125" style="2" customWidth="1"/>
    <col min="11252" max="11252" width="19" style="2" customWidth="1"/>
    <col min="11253" max="11253" width="14" style="2" customWidth="1"/>
    <col min="11254" max="11254" width="19.1796875" style="2" customWidth="1"/>
    <col min="11255" max="11255" width="15.81640625" style="2" customWidth="1"/>
    <col min="11256" max="11257" width="11.453125" style="2"/>
    <col min="11258" max="11258" width="12.81640625" style="2" customWidth="1"/>
    <col min="11259" max="11259" width="11.453125" style="2" customWidth="1"/>
    <col min="11260" max="11260" width="14.453125" style="2" customWidth="1"/>
    <col min="11261" max="11503" width="11.453125" style="2"/>
    <col min="11504" max="11504" width="14.453125" style="2" customWidth="1"/>
    <col min="11505" max="11505" width="38" style="2" customWidth="1"/>
    <col min="11506" max="11506" width="31.453125" style="2" customWidth="1"/>
    <col min="11507" max="11507" width="21.453125" style="2" customWidth="1"/>
    <col min="11508" max="11508" width="19" style="2" customWidth="1"/>
    <col min="11509" max="11509" width="14" style="2" customWidth="1"/>
    <col min="11510" max="11510" width="19.1796875" style="2" customWidth="1"/>
    <col min="11511" max="11511" width="15.81640625" style="2" customWidth="1"/>
    <col min="11512" max="11513" width="11.453125" style="2"/>
    <col min="11514" max="11514" width="12.81640625" style="2" customWidth="1"/>
    <col min="11515" max="11515" width="11.453125" style="2" customWidth="1"/>
    <col min="11516" max="11516" width="14.453125" style="2" customWidth="1"/>
    <col min="11517" max="11759" width="11.453125" style="2"/>
    <col min="11760" max="11760" width="14.453125" style="2" customWidth="1"/>
    <col min="11761" max="11761" width="38" style="2" customWidth="1"/>
    <col min="11762" max="11762" width="31.453125" style="2" customWidth="1"/>
    <col min="11763" max="11763" width="21.453125" style="2" customWidth="1"/>
    <col min="11764" max="11764" width="19" style="2" customWidth="1"/>
    <col min="11765" max="11765" width="14" style="2" customWidth="1"/>
    <col min="11766" max="11766" width="19.1796875" style="2" customWidth="1"/>
    <col min="11767" max="11767" width="15.81640625" style="2" customWidth="1"/>
    <col min="11768" max="11769" width="11.453125" style="2"/>
    <col min="11770" max="11770" width="12.81640625" style="2" customWidth="1"/>
    <col min="11771" max="11771" width="11.453125" style="2" customWidth="1"/>
    <col min="11772" max="11772" width="14.453125" style="2" customWidth="1"/>
    <col min="11773" max="12015" width="11.453125" style="2"/>
    <col min="12016" max="12016" width="14.453125" style="2" customWidth="1"/>
    <col min="12017" max="12017" width="38" style="2" customWidth="1"/>
    <col min="12018" max="12018" width="31.453125" style="2" customWidth="1"/>
    <col min="12019" max="12019" width="21.453125" style="2" customWidth="1"/>
    <col min="12020" max="12020" width="19" style="2" customWidth="1"/>
    <col min="12021" max="12021" width="14" style="2" customWidth="1"/>
    <col min="12022" max="12022" width="19.1796875" style="2" customWidth="1"/>
    <col min="12023" max="12023" width="15.81640625" style="2" customWidth="1"/>
    <col min="12024" max="12025" width="11.453125" style="2"/>
    <col min="12026" max="12026" width="12.81640625" style="2" customWidth="1"/>
    <col min="12027" max="12027" width="11.453125" style="2" customWidth="1"/>
    <col min="12028" max="12028" width="14.453125" style="2" customWidth="1"/>
    <col min="12029" max="12271" width="11.453125" style="2"/>
    <col min="12272" max="12272" width="14.453125" style="2" customWidth="1"/>
    <col min="12273" max="12273" width="38" style="2" customWidth="1"/>
    <col min="12274" max="12274" width="31.453125" style="2" customWidth="1"/>
    <col min="12275" max="12275" width="21.453125" style="2" customWidth="1"/>
    <col min="12276" max="12276" width="19" style="2" customWidth="1"/>
    <col min="12277" max="12277" width="14" style="2" customWidth="1"/>
    <col min="12278" max="12278" width="19.1796875" style="2" customWidth="1"/>
    <col min="12279" max="12279" width="15.81640625" style="2" customWidth="1"/>
    <col min="12280" max="12281" width="11.453125" style="2"/>
    <col min="12282" max="12282" width="12.81640625" style="2" customWidth="1"/>
    <col min="12283" max="12283" width="11.453125" style="2" customWidth="1"/>
    <col min="12284" max="12284" width="14.453125" style="2" customWidth="1"/>
    <col min="12285" max="12527" width="11.453125" style="2"/>
    <col min="12528" max="12528" width="14.453125" style="2" customWidth="1"/>
    <col min="12529" max="12529" width="38" style="2" customWidth="1"/>
    <col min="12530" max="12530" width="31.453125" style="2" customWidth="1"/>
    <col min="12531" max="12531" width="21.453125" style="2" customWidth="1"/>
    <col min="12532" max="12532" width="19" style="2" customWidth="1"/>
    <col min="12533" max="12533" width="14" style="2" customWidth="1"/>
    <col min="12534" max="12534" width="19.1796875" style="2" customWidth="1"/>
    <col min="12535" max="12535" width="15.81640625" style="2" customWidth="1"/>
    <col min="12536" max="12537" width="11.453125" style="2"/>
    <col min="12538" max="12538" width="12.81640625" style="2" customWidth="1"/>
    <col min="12539" max="12539" width="11.453125" style="2" customWidth="1"/>
    <col min="12540" max="12540" width="14.453125" style="2" customWidth="1"/>
    <col min="12541" max="12783" width="11.453125" style="2"/>
    <col min="12784" max="12784" width="14.453125" style="2" customWidth="1"/>
    <col min="12785" max="12785" width="38" style="2" customWidth="1"/>
    <col min="12786" max="12786" width="31.453125" style="2" customWidth="1"/>
    <col min="12787" max="12787" width="21.453125" style="2" customWidth="1"/>
    <col min="12788" max="12788" width="19" style="2" customWidth="1"/>
    <col min="12789" max="12789" width="14" style="2" customWidth="1"/>
    <col min="12790" max="12790" width="19.1796875" style="2" customWidth="1"/>
    <col min="12791" max="12791" width="15.81640625" style="2" customWidth="1"/>
    <col min="12792" max="12793" width="11.453125" style="2"/>
    <col min="12794" max="12794" width="12.81640625" style="2" customWidth="1"/>
    <col min="12795" max="12795" width="11.453125" style="2" customWidth="1"/>
    <col min="12796" max="12796" width="14.453125" style="2" customWidth="1"/>
    <col min="12797" max="13039" width="11.453125" style="2"/>
    <col min="13040" max="13040" width="14.453125" style="2" customWidth="1"/>
    <col min="13041" max="13041" width="38" style="2" customWidth="1"/>
    <col min="13042" max="13042" width="31.453125" style="2" customWidth="1"/>
    <col min="13043" max="13043" width="21.453125" style="2" customWidth="1"/>
    <col min="13044" max="13044" width="19" style="2" customWidth="1"/>
    <col min="13045" max="13045" width="14" style="2" customWidth="1"/>
    <col min="13046" max="13046" width="19.1796875" style="2" customWidth="1"/>
    <col min="13047" max="13047" width="15.81640625" style="2" customWidth="1"/>
    <col min="13048" max="13049" width="11.453125" style="2"/>
    <col min="13050" max="13050" width="12.81640625" style="2" customWidth="1"/>
    <col min="13051" max="13051" width="11.453125" style="2" customWidth="1"/>
    <col min="13052" max="13052" width="14.453125" style="2" customWidth="1"/>
    <col min="13053" max="13295" width="11.453125" style="2"/>
    <col min="13296" max="13296" width="14.453125" style="2" customWidth="1"/>
    <col min="13297" max="13297" width="38" style="2" customWidth="1"/>
    <col min="13298" max="13298" width="31.453125" style="2" customWidth="1"/>
    <col min="13299" max="13299" width="21.453125" style="2" customWidth="1"/>
    <col min="13300" max="13300" width="19" style="2" customWidth="1"/>
    <col min="13301" max="13301" width="14" style="2" customWidth="1"/>
    <col min="13302" max="13302" width="19.1796875" style="2" customWidth="1"/>
    <col min="13303" max="13303" width="15.81640625" style="2" customWidth="1"/>
    <col min="13304" max="13305" width="11.453125" style="2"/>
    <col min="13306" max="13306" width="12.81640625" style="2" customWidth="1"/>
    <col min="13307" max="13307" width="11.453125" style="2" customWidth="1"/>
    <col min="13308" max="13308" width="14.453125" style="2" customWidth="1"/>
    <col min="13309" max="13551" width="11.453125" style="2"/>
    <col min="13552" max="13552" width="14.453125" style="2" customWidth="1"/>
    <col min="13553" max="13553" width="38" style="2" customWidth="1"/>
    <col min="13554" max="13554" width="31.453125" style="2" customWidth="1"/>
    <col min="13555" max="13555" width="21.453125" style="2" customWidth="1"/>
    <col min="13556" max="13556" width="19" style="2" customWidth="1"/>
    <col min="13557" max="13557" width="14" style="2" customWidth="1"/>
    <col min="13558" max="13558" width="19.1796875" style="2" customWidth="1"/>
    <col min="13559" max="13559" width="15.81640625" style="2" customWidth="1"/>
    <col min="13560" max="13561" width="11.453125" style="2"/>
    <col min="13562" max="13562" width="12.81640625" style="2" customWidth="1"/>
    <col min="13563" max="13563" width="11.453125" style="2" customWidth="1"/>
    <col min="13564" max="13564" width="14.453125" style="2" customWidth="1"/>
    <col min="13565" max="13807" width="11.453125" style="2"/>
    <col min="13808" max="13808" width="14.453125" style="2" customWidth="1"/>
    <col min="13809" max="13809" width="38" style="2" customWidth="1"/>
    <col min="13810" max="13810" width="31.453125" style="2" customWidth="1"/>
    <col min="13811" max="13811" width="21.453125" style="2" customWidth="1"/>
    <col min="13812" max="13812" width="19" style="2" customWidth="1"/>
    <col min="13813" max="13813" width="14" style="2" customWidth="1"/>
    <col min="13814" max="13814" width="19.1796875" style="2" customWidth="1"/>
    <col min="13815" max="13815" width="15.81640625" style="2" customWidth="1"/>
    <col min="13816" max="13817" width="11.453125" style="2"/>
    <col min="13818" max="13818" width="12.81640625" style="2" customWidth="1"/>
    <col min="13819" max="13819" width="11.453125" style="2" customWidth="1"/>
    <col min="13820" max="13820" width="14.453125" style="2" customWidth="1"/>
    <col min="13821" max="14063" width="11.453125" style="2"/>
    <col min="14064" max="14064" width="14.453125" style="2" customWidth="1"/>
    <col min="14065" max="14065" width="38" style="2" customWidth="1"/>
    <col min="14066" max="14066" width="31.453125" style="2" customWidth="1"/>
    <col min="14067" max="14067" width="21.453125" style="2" customWidth="1"/>
    <col min="14068" max="14068" width="19" style="2" customWidth="1"/>
    <col min="14069" max="14069" width="14" style="2" customWidth="1"/>
    <col min="14070" max="14070" width="19.1796875" style="2" customWidth="1"/>
    <col min="14071" max="14071" width="15.81640625" style="2" customWidth="1"/>
    <col min="14072" max="14073" width="11.453125" style="2"/>
    <col min="14074" max="14074" width="12.81640625" style="2" customWidth="1"/>
    <col min="14075" max="14075" width="11.453125" style="2" customWidth="1"/>
    <col min="14076" max="14076" width="14.453125" style="2" customWidth="1"/>
    <col min="14077" max="14319" width="11.453125" style="2"/>
    <col min="14320" max="14320" width="14.453125" style="2" customWidth="1"/>
    <col min="14321" max="14321" width="38" style="2" customWidth="1"/>
    <col min="14322" max="14322" width="31.453125" style="2" customWidth="1"/>
    <col min="14323" max="14323" width="21.453125" style="2" customWidth="1"/>
    <col min="14324" max="14324" width="19" style="2" customWidth="1"/>
    <col min="14325" max="14325" width="14" style="2" customWidth="1"/>
    <col min="14326" max="14326" width="19.1796875" style="2" customWidth="1"/>
    <col min="14327" max="14327" width="15.81640625" style="2" customWidth="1"/>
    <col min="14328" max="14329" width="11.453125" style="2"/>
    <col min="14330" max="14330" width="12.81640625" style="2" customWidth="1"/>
    <col min="14331" max="14331" width="11.453125" style="2" customWidth="1"/>
    <col min="14332" max="14332" width="14.453125" style="2" customWidth="1"/>
    <col min="14333" max="14575" width="11.453125" style="2"/>
    <col min="14576" max="14576" width="14.453125" style="2" customWidth="1"/>
    <col min="14577" max="14577" width="38" style="2" customWidth="1"/>
    <col min="14578" max="14578" width="31.453125" style="2" customWidth="1"/>
    <col min="14579" max="14579" width="21.453125" style="2" customWidth="1"/>
    <col min="14580" max="14580" width="19" style="2" customWidth="1"/>
    <col min="14581" max="14581" width="14" style="2" customWidth="1"/>
    <col min="14582" max="14582" width="19.1796875" style="2" customWidth="1"/>
    <col min="14583" max="14583" width="15.81640625" style="2" customWidth="1"/>
    <col min="14584" max="14585" width="11.453125" style="2"/>
    <col min="14586" max="14586" width="12.81640625" style="2" customWidth="1"/>
    <col min="14587" max="14587" width="11.453125" style="2" customWidth="1"/>
    <col min="14588" max="14588" width="14.453125" style="2" customWidth="1"/>
    <col min="14589" max="14831" width="11.453125" style="2"/>
    <col min="14832" max="14832" width="14.453125" style="2" customWidth="1"/>
    <col min="14833" max="14833" width="38" style="2" customWidth="1"/>
    <col min="14834" max="14834" width="31.453125" style="2" customWidth="1"/>
    <col min="14835" max="14835" width="21.453125" style="2" customWidth="1"/>
    <col min="14836" max="14836" width="19" style="2" customWidth="1"/>
    <col min="14837" max="14837" width="14" style="2" customWidth="1"/>
    <col min="14838" max="14838" width="19.1796875" style="2" customWidth="1"/>
    <col min="14839" max="14839" width="15.81640625" style="2" customWidth="1"/>
    <col min="14840" max="14841" width="11.453125" style="2"/>
    <col min="14842" max="14842" width="12.81640625" style="2" customWidth="1"/>
    <col min="14843" max="14843" width="11.453125" style="2" customWidth="1"/>
    <col min="14844" max="14844" width="14.453125" style="2" customWidth="1"/>
    <col min="14845" max="15087" width="11.453125" style="2"/>
    <col min="15088" max="15088" width="14.453125" style="2" customWidth="1"/>
    <col min="15089" max="15089" width="38" style="2" customWidth="1"/>
    <col min="15090" max="15090" width="31.453125" style="2" customWidth="1"/>
    <col min="15091" max="15091" width="21.453125" style="2" customWidth="1"/>
    <col min="15092" max="15092" width="19" style="2" customWidth="1"/>
    <col min="15093" max="15093" width="14" style="2" customWidth="1"/>
    <col min="15094" max="15094" width="19.1796875" style="2" customWidth="1"/>
    <col min="15095" max="15095" width="15.81640625" style="2" customWidth="1"/>
    <col min="15096" max="15097" width="11.453125" style="2"/>
    <col min="15098" max="15098" width="12.81640625" style="2" customWidth="1"/>
    <col min="15099" max="15099" width="11.453125" style="2" customWidth="1"/>
    <col min="15100" max="15100" width="14.453125" style="2" customWidth="1"/>
    <col min="15101" max="15343" width="11.453125" style="2"/>
    <col min="15344" max="15344" width="14.453125" style="2" customWidth="1"/>
    <col min="15345" max="15345" width="38" style="2" customWidth="1"/>
    <col min="15346" max="15346" width="31.453125" style="2" customWidth="1"/>
    <col min="15347" max="15347" width="21.453125" style="2" customWidth="1"/>
    <col min="15348" max="15348" width="19" style="2" customWidth="1"/>
    <col min="15349" max="15349" width="14" style="2" customWidth="1"/>
    <col min="15350" max="15350" width="19.1796875" style="2" customWidth="1"/>
    <col min="15351" max="15351" width="15.81640625" style="2" customWidth="1"/>
    <col min="15352" max="15353" width="11.453125" style="2"/>
    <col min="15354" max="15354" width="12.81640625" style="2" customWidth="1"/>
    <col min="15355" max="15355" width="11.453125" style="2" customWidth="1"/>
    <col min="15356" max="15356" width="14.453125" style="2" customWidth="1"/>
    <col min="15357" max="15599" width="11.453125" style="2"/>
    <col min="15600" max="15600" width="14.453125" style="2" customWidth="1"/>
    <col min="15601" max="15601" width="38" style="2" customWidth="1"/>
    <col min="15602" max="15602" width="31.453125" style="2" customWidth="1"/>
    <col min="15603" max="15603" width="21.453125" style="2" customWidth="1"/>
    <col min="15604" max="15604" width="19" style="2" customWidth="1"/>
    <col min="15605" max="15605" width="14" style="2" customWidth="1"/>
    <col min="15606" max="15606" width="19.1796875" style="2" customWidth="1"/>
    <col min="15607" max="15607" width="15.81640625" style="2" customWidth="1"/>
    <col min="15608" max="15609" width="11.453125" style="2"/>
    <col min="15610" max="15610" width="12.81640625" style="2" customWidth="1"/>
    <col min="15611" max="15611" width="11.453125" style="2" customWidth="1"/>
    <col min="15612" max="15612" width="14.453125" style="2" customWidth="1"/>
    <col min="15613" max="15855" width="11.453125" style="2"/>
    <col min="15856" max="15856" width="14.453125" style="2" customWidth="1"/>
    <col min="15857" max="15857" width="38" style="2" customWidth="1"/>
    <col min="15858" max="15858" width="31.453125" style="2" customWidth="1"/>
    <col min="15859" max="15859" width="21.453125" style="2" customWidth="1"/>
    <col min="15860" max="15860" width="19" style="2" customWidth="1"/>
    <col min="15861" max="15861" width="14" style="2" customWidth="1"/>
    <col min="15862" max="15862" width="19.1796875" style="2" customWidth="1"/>
    <col min="15863" max="15863" width="15.81640625" style="2" customWidth="1"/>
    <col min="15864" max="15865" width="11.453125" style="2"/>
    <col min="15866" max="15866" width="12.81640625" style="2" customWidth="1"/>
    <col min="15867" max="15867" width="11.453125" style="2" customWidth="1"/>
    <col min="15868" max="15868" width="14.453125" style="2" customWidth="1"/>
    <col min="15869" max="16111" width="11.453125" style="2"/>
    <col min="16112" max="16112" width="14.453125" style="2" customWidth="1"/>
    <col min="16113" max="16113" width="38" style="2" customWidth="1"/>
    <col min="16114" max="16114" width="31.453125" style="2" customWidth="1"/>
    <col min="16115" max="16115" width="21.453125" style="2" customWidth="1"/>
    <col min="16116" max="16116" width="19" style="2" customWidth="1"/>
    <col min="16117" max="16117" width="14" style="2" customWidth="1"/>
    <col min="16118" max="16118" width="19.1796875" style="2" customWidth="1"/>
    <col min="16119" max="16119" width="15.81640625" style="2" customWidth="1"/>
    <col min="16120" max="16121" width="11.453125" style="2"/>
    <col min="16122" max="16122" width="12.81640625" style="2" customWidth="1"/>
    <col min="16123" max="16123" width="11.453125" style="2" customWidth="1"/>
    <col min="16124" max="16124" width="14.453125" style="2" customWidth="1"/>
    <col min="16125" max="16384" width="11.453125" style="2"/>
  </cols>
  <sheetData>
    <row r="1" spans="2:6" ht="15" thickBot="1" x14ac:dyDescent="0.4"/>
    <row r="2" spans="2:6" ht="14.5" customHeight="1" x14ac:dyDescent="0.35">
      <c r="B2" s="248" t="s">
        <v>15</v>
      </c>
      <c r="C2" s="249"/>
      <c r="D2" s="249"/>
      <c r="E2" s="249"/>
      <c r="F2" s="250"/>
    </row>
    <row r="3" spans="2:6" ht="14.5" customHeight="1" x14ac:dyDescent="0.35">
      <c r="B3" s="251"/>
      <c r="C3" s="252"/>
      <c r="D3" s="252"/>
      <c r="E3" s="252"/>
      <c r="F3" s="253"/>
    </row>
    <row r="4" spans="2:6" ht="14.5" customHeight="1" thickBot="1" x14ac:dyDescent="0.4">
      <c r="B4" s="254"/>
      <c r="C4" s="255"/>
      <c r="D4" s="255"/>
      <c r="E4" s="255"/>
      <c r="F4" s="256"/>
    </row>
    <row r="5" spans="2:6" ht="16" thickBot="1" x14ac:dyDescent="0.4">
      <c r="B5" s="257" t="s">
        <v>16</v>
      </c>
      <c r="C5" s="258"/>
      <c r="D5" s="234"/>
      <c r="E5" s="235"/>
      <c r="F5" s="236"/>
    </row>
    <row r="6" spans="2:6" ht="5.15" customHeight="1" thickBot="1" x14ac:dyDescent="0.4">
      <c r="B6" s="38"/>
      <c r="C6" s="38"/>
      <c r="D6" s="38"/>
      <c r="E6" s="38"/>
      <c r="F6" s="27"/>
    </row>
    <row r="7" spans="2:6" ht="15" customHeight="1" x14ac:dyDescent="0.35">
      <c r="B7" s="237" t="s">
        <v>17</v>
      </c>
      <c r="C7" s="237" t="s">
        <v>18</v>
      </c>
      <c r="D7" s="237" t="s">
        <v>42</v>
      </c>
      <c r="E7" s="259" t="s">
        <v>19</v>
      </c>
      <c r="F7" s="237" t="s">
        <v>20</v>
      </c>
    </row>
    <row r="8" spans="2:6" ht="43.75" customHeight="1" thickBot="1" x14ac:dyDescent="0.4">
      <c r="B8" s="238"/>
      <c r="C8" s="238"/>
      <c r="D8" s="238"/>
      <c r="E8" s="260"/>
      <c r="F8" s="238"/>
    </row>
    <row r="9" spans="2:6" ht="15.65" customHeight="1" x14ac:dyDescent="0.35">
      <c r="B9" s="241" t="s">
        <v>37</v>
      </c>
      <c r="C9" s="239"/>
      <c r="D9" s="239" t="s">
        <v>43</v>
      </c>
      <c r="E9" s="243">
        <v>10</v>
      </c>
      <c r="F9" s="246" t="s">
        <v>4</v>
      </c>
    </row>
    <row r="10" spans="2:6" x14ac:dyDescent="0.35">
      <c r="B10" s="242"/>
      <c r="C10" s="240"/>
      <c r="D10" s="240"/>
      <c r="E10" s="244"/>
      <c r="F10" s="247"/>
    </row>
    <row r="11" spans="2:6" x14ac:dyDescent="0.35">
      <c r="B11" s="242" t="s">
        <v>37</v>
      </c>
      <c r="C11" s="240"/>
      <c r="D11" s="240" t="s">
        <v>43</v>
      </c>
      <c r="E11" s="245">
        <v>10</v>
      </c>
      <c r="F11" s="247" t="s">
        <v>38</v>
      </c>
    </row>
    <row r="12" spans="2:6" x14ac:dyDescent="0.35">
      <c r="B12" s="242"/>
      <c r="C12" s="240"/>
      <c r="D12" s="240"/>
      <c r="E12" s="245"/>
      <c r="F12" s="247"/>
    </row>
    <row r="13" spans="2:6" ht="15" thickBot="1" x14ac:dyDescent="0.4">
      <c r="B13" s="58"/>
      <c r="C13" s="24"/>
      <c r="D13" s="24"/>
      <c r="E13" s="36"/>
      <c r="F13" s="37"/>
    </row>
    <row r="14" spans="2:6" ht="15" thickBot="1" x14ac:dyDescent="0.4">
      <c r="B14" s="216" t="s">
        <v>39</v>
      </c>
      <c r="C14" s="217"/>
      <c r="D14" s="218"/>
      <c r="E14" s="21">
        <f>SUM(E9:E13)</f>
        <v>20</v>
      </c>
      <c r="F14" s="20"/>
    </row>
    <row r="15" spans="2:6" ht="15" thickBot="1" x14ac:dyDescent="0.4">
      <c r="B15" s="219" t="s">
        <v>40</v>
      </c>
      <c r="C15" s="220"/>
      <c r="D15" s="221"/>
      <c r="E15" s="22"/>
      <c r="F15" s="19"/>
    </row>
    <row r="16" spans="2:6" ht="15" thickBot="1" x14ac:dyDescent="0.4">
      <c r="B16" s="222" t="s">
        <v>41</v>
      </c>
      <c r="C16" s="223"/>
      <c r="D16" s="224"/>
      <c r="E16" s="23"/>
      <c r="F16" s="12"/>
    </row>
    <row r="17" spans="2:7" x14ac:dyDescent="0.35">
      <c r="B17" s="225" t="s">
        <v>46</v>
      </c>
      <c r="C17" s="226"/>
      <c r="D17" s="226"/>
      <c r="E17" s="226"/>
      <c r="F17" s="227"/>
    </row>
    <row r="18" spans="2:7" x14ac:dyDescent="0.35">
      <c r="B18" s="228"/>
      <c r="C18" s="229"/>
      <c r="D18" s="229"/>
      <c r="E18" s="229"/>
      <c r="F18" s="230"/>
    </row>
    <row r="19" spans="2:7" ht="15" thickBot="1" x14ac:dyDescent="0.4">
      <c r="B19" s="231"/>
      <c r="C19" s="232"/>
      <c r="D19" s="232"/>
      <c r="E19" s="232"/>
      <c r="F19" s="233"/>
    </row>
    <row r="20" spans="2:7" x14ac:dyDescent="0.35">
      <c r="B20" s="13"/>
      <c r="C20" s="13"/>
      <c r="D20" s="13"/>
      <c r="E20" s="13"/>
      <c r="F20" s="13"/>
    </row>
    <row r="21" spans="2:7" x14ac:dyDescent="0.35">
      <c r="B21" s="57" t="s">
        <v>47</v>
      </c>
    </row>
    <row r="23" spans="2:7" x14ac:dyDescent="0.35">
      <c r="C23" s="25"/>
      <c r="D23" s="25"/>
      <c r="E23" s="26"/>
      <c r="F23" s="26"/>
      <c r="G23" s="26"/>
    </row>
    <row r="24" spans="2:7" x14ac:dyDescent="0.35">
      <c r="D24" s="3"/>
    </row>
  </sheetData>
  <mergeCells count="22">
    <mergeCell ref="B2:F4"/>
    <mergeCell ref="B5:C5"/>
    <mergeCell ref="B7:B8"/>
    <mergeCell ref="C7:C8"/>
    <mergeCell ref="E7:E8"/>
    <mergeCell ref="F7:F8"/>
    <mergeCell ref="B14:D14"/>
    <mergeCell ref="B15:D15"/>
    <mergeCell ref="B16:D16"/>
    <mergeCell ref="B17:F19"/>
    <mergeCell ref="D5:F5"/>
    <mergeCell ref="D7:D8"/>
    <mergeCell ref="D9:D10"/>
    <mergeCell ref="D11:D12"/>
    <mergeCell ref="C11:C12"/>
    <mergeCell ref="B9:B10"/>
    <mergeCell ref="C9:C10"/>
    <mergeCell ref="B11:B12"/>
    <mergeCell ref="E9:E10"/>
    <mergeCell ref="E11:E12"/>
    <mergeCell ref="F9:F10"/>
    <mergeCell ref="F11:F12"/>
  </mergeCells>
  <dataValidations count="2">
    <dataValidation type="list" allowBlank="1" showInputMessage="1" showErrorMessage="1" sqref="F9 F11 F13" xr:uid="{00000000-0002-0000-0400-000000000000}">
      <formula1>"Si,No"</formula1>
    </dataValidation>
    <dataValidation type="list" allowBlank="1" showInputMessage="1" showErrorMessage="1" sqref="D9:D12" xr:uid="{00000000-0002-0000-0400-000001000000}">
      <formula1>"Aseguramiento,Consultoria"</formula1>
    </dataValidation>
  </dataValidations>
  <pageMargins left="0.7" right="0.7" top="0.75" bottom="0.75" header="0.3" footer="0.3"/>
  <pageSetup orientation="portrait"/>
  <extLst>
    <ext xmlns:mx="http://schemas.microsoft.com/office/mac/excel/2008/main" uri="{64002731-A6B0-56B0-2670-7721B7C09600}">
      <mx:PLV Mode="0" OnePage="0" WScale="0"/>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T24"/>
  <sheetViews>
    <sheetView zoomScale="125" zoomScaleNormal="125" zoomScalePageLayoutView="125" workbookViewId="0">
      <selection activeCell="B22" sqref="B22"/>
    </sheetView>
  </sheetViews>
  <sheetFormatPr baseColWidth="10" defaultColWidth="11.453125" defaultRowHeight="14.5" x14ac:dyDescent="0.35"/>
  <cols>
    <col min="1" max="1" width="3.453125" style="2" customWidth="1"/>
    <col min="2" max="2" width="32.81640625" style="2" customWidth="1"/>
    <col min="3" max="4" width="31.1796875" style="2" customWidth="1"/>
    <col min="5" max="5" width="17" style="2" customWidth="1"/>
    <col min="6" max="6" width="13.1796875" style="3" customWidth="1"/>
    <col min="7" max="7" width="14.26953125" style="3" customWidth="1"/>
    <col min="8" max="8" width="11.453125" style="2"/>
    <col min="9" max="9" width="3.453125" style="2" bestFit="1" customWidth="1"/>
    <col min="10" max="10" width="5.81640625" style="2" customWidth="1"/>
    <col min="11" max="11" width="5.81640625" style="3" customWidth="1"/>
    <col min="12" max="20" width="5.81640625" style="2" customWidth="1"/>
    <col min="21" max="254" width="11.453125" style="2"/>
    <col min="255" max="255" width="14.453125" style="2" customWidth="1"/>
    <col min="256" max="256" width="38" style="2" customWidth="1"/>
    <col min="257" max="257" width="31.453125" style="2" customWidth="1"/>
    <col min="258" max="258" width="21.453125" style="2" customWidth="1"/>
    <col min="259" max="259" width="19" style="2" customWidth="1"/>
    <col min="260" max="260" width="14" style="2" customWidth="1"/>
    <col min="261" max="261" width="19.1796875" style="2" customWidth="1"/>
    <col min="262" max="262" width="15.81640625" style="2" customWidth="1"/>
    <col min="263" max="264" width="11.453125" style="2"/>
    <col min="265" max="265" width="12.81640625" style="2" customWidth="1"/>
    <col min="266" max="266" width="11.453125" style="2" customWidth="1"/>
    <col min="267" max="267" width="14.453125" style="2" customWidth="1"/>
    <col min="268" max="510" width="11.453125" style="2"/>
    <col min="511" max="511" width="14.453125" style="2" customWidth="1"/>
    <col min="512" max="512" width="38" style="2" customWidth="1"/>
    <col min="513" max="513" width="31.453125" style="2" customWidth="1"/>
    <col min="514" max="514" width="21.453125" style="2" customWidth="1"/>
    <col min="515" max="515" width="19" style="2" customWidth="1"/>
    <col min="516" max="516" width="14" style="2" customWidth="1"/>
    <col min="517" max="517" width="19.1796875" style="2" customWidth="1"/>
    <col min="518" max="518" width="15.81640625" style="2" customWidth="1"/>
    <col min="519" max="520" width="11.453125" style="2"/>
    <col min="521" max="521" width="12.81640625" style="2" customWidth="1"/>
    <col min="522" max="522" width="11.453125" style="2" customWidth="1"/>
    <col min="523" max="523" width="14.453125" style="2" customWidth="1"/>
    <col min="524" max="766" width="11.453125" style="2"/>
    <col min="767" max="767" width="14.453125" style="2" customWidth="1"/>
    <col min="768" max="768" width="38" style="2" customWidth="1"/>
    <col min="769" max="769" width="31.453125" style="2" customWidth="1"/>
    <col min="770" max="770" width="21.453125" style="2" customWidth="1"/>
    <col min="771" max="771" width="19" style="2" customWidth="1"/>
    <col min="772" max="772" width="14" style="2" customWidth="1"/>
    <col min="773" max="773" width="19.1796875" style="2" customWidth="1"/>
    <col min="774" max="774" width="15.81640625" style="2" customWidth="1"/>
    <col min="775" max="776" width="11.453125" style="2"/>
    <col min="777" max="777" width="12.81640625" style="2" customWidth="1"/>
    <col min="778" max="778" width="11.453125" style="2" customWidth="1"/>
    <col min="779" max="779" width="14.453125" style="2" customWidth="1"/>
    <col min="780" max="1022" width="11.453125" style="2"/>
    <col min="1023" max="1023" width="14.453125" style="2" customWidth="1"/>
    <col min="1024" max="1024" width="38" style="2" customWidth="1"/>
    <col min="1025" max="1025" width="31.453125" style="2" customWidth="1"/>
    <col min="1026" max="1026" width="21.453125" style="2" customWidth="1"/>
    <col min="1027" max="1027" width="19" style="2" customWidth="1"/>
    <col min="1028" max="1028" width="14" style="2" customWidth="1"/>
    <col min="1029" max="1029" width="19.1796875" style="2" customWidth="1"/>
    <col min="1030" max="1030" width="15.81640625" style="2" customWidth="1"/>
    <col min="1031" max="1032" width="11.453125" style="2"/>
    <col min="1033" max="1033" width="12.81640625" style="2" customWidth="1"/>
    <col min="1034" max="1034" width="11.453125" style="2" customWidth="1"/>
    <col min="1035" max="1035" width="14.453125" style="2" customWidth="1"/>
    <col min="1036" max="1278" width="11.453125" style="2"/>
    <col min="1279" max="1279" width="14.453125" style="2" customWidth="1"/>
    <col min="1280" max="1280" width="38" style="2" customWidth="1"/>
    <col min="1281" max="1281" width="31.453125" style="2" customWidth="1"/>
    <col min="1282" max="1282" width="21.453125" style="2" customWidth="1"/>
    <col min="1283" max="1283" width="19" style="2" customWidth="1"/>
    <col min="1284" max="1284" width="14" style="2" customWidth="1"/>
    <col min="1285" max="1285" width="19.1796875" style="2" customWidth="1"/>
    <col min="1286" max="1286" width="15.81640625" style="2" customWidth="1"/>
    <col min="1287" max="1288" width="11.453125" style="2"/>
    <col min="1289" max="1289" width="12.81640625" style="2" customWidth="1"/>
    <col min="1290" max="1290" width="11.453125" style="2" customWidth="1"/>
    <col min="1291" max="1291" width="14.453125" style="2" customWidth="1"/>
    <col min="1292" max="1534" width="11.453125" style="2"/>
    <col min="1535" max="1535" width="14.453125" style="2" customWidth="1"/>
    <col min="1536" max="1536" width="38" style="2" customWidth="1"/>
    <col min="1537" max="1537" width="31.453125" style="2" customWidth="1"/>
    <col min="1538" max="1538" width="21.453125" style="2" customWidth="1"/>
    <col min="1539" max="1539" width="19" style="2" customWidth="1"/>
    <col min="1540" max="1540" width="14" style="2" customWidth="1"/>
    <col min="1541" max="1541" width="19.1796875" style="2" customWidth="1"/>
    <col min="1542" max="1542" width="15.81640625" style="2" customWidth="1"/>
    <col min="1543" max="1544" width="11.453125" style="2"/>
    <col min="1545" max="1545" width="12.81640625" style="2" customWidth="1"/>
    <col min="1546" max="1546" width="11.453125" style="2" customWidth="1"/>
    <col min="1547" max="1547" width="14.453125" style="2" customWidth="1"/>
    <col min="1548" max="1790" width="11.453125" style="2"/>
    <col min="1791" max="1791" width="14.453125" style="2" customWidth="1"/>
    <col min="1792" max="1792" width="38" style="2" customWidth="1"/>
    <col min="1793" max="1793" width="31.453125" style="2" customWidth="1"/>
    <col min="1794" max="1794" width="21.453125" style="2" customWidth="1"/>
    <col min="1795" max="1795" width="19" style="2" customWidth="1"/>
    <col min="1796" max="1796" width="14" style="2" customWidth="1"/>
    <col min="1797" max="1797" width="19.1796875" style="2" customWidth="1"/>
    <col min="1798" max="1798" width="15.81640625" style="2" customWidth="1"/>
    <col min="1799" max="1800" width="11.453125" style="2"/>
    <col min="1801" max="1801" width="12.81640625" style="2" customWidth="1"/>
    <col min="1802" max="1802" width="11.453125" style="2" customWidth="1"/>
    <col min="1803" max="1803" width="14.453125" style="2" customWidth="1"/>
    <col min="1804" max="2046" width="11.453125" style="2"/>
    <col min="2047" max="2047" width="14.453125" style="2" customWidth="1"/>
    <col min="2048" max="2048" width="38" style="2" customWidth="1"/>
    <col min="2049" max="2049" width="31.453125" style="2" customWidth="1"/>
    <col min="2050" max="2050" width="21.453125" style="2" customWidth="1"/>
    <col min="2051" max="2051" width="19" style="2" customWidth="1"/>
    <col min="2052" max="2052" width="14" style="2" customWidth="1"/>
    <col min="2053" max="2053" width="19.1796875" style="2" customWidth="1"/>
    <col min="2054" max="2054" width="15.81640625" style="2" customWidth="1"/>
    <col min="2055" max="2056" width="11.453125" style="2"/>
    <col min="2057" max="2057" width="12.81640625" style="2" customWidth="1"/>
    <col min="2058" max="2058" width="11.453125" style="2" customWidth="1"/>
    <col min="2059" max="2059" width="14.453125" style="2" customWidth="1"/>
    <col min="2060" max="2302" width="11.453125" style="2"/>
    <col min="2303" max="2303" width="14.453125" style="2" customWidth="1"/>
    <col min="2304" max="2304" width="38" style="2" customWidth="1"/>
    <col min="2305" max="2305" width="31.453125" style="2" customWidth="1"/>
    <col min="2306" max="2306" width="21.453125" style="2" customWidth="1"/>
    <col min="2307" max="2307" width="19" style="2" customWidth="1"/>
    <col min="2308" max="2308" width="14" style="2" customWidth="1"/>
    <col min="2309" max="2309" width="19.1796875" style="2" customWidth="1"/>
    <col min="2310" max="2310" width="15.81640625" style="2" customWidth="1"/>
    <col min="2311" max="2312" width="11.453125" style="2"/>
    <col min="2313" max="2313" width="12.81640625" style="2" customWidth="1"/>
    <col min="2314" max="2314" width="11.453125" style="2" customWidth="1"/>
    <col min="2315" max="2315" width="14.453125" style="2" customWidth="1"/>
    <col min="2316" max="2558" width="11.453125" style="2"/>
    <col min="2559" max="2559" width="14.453125" style="2" customWidth="1"/>
    <col min="2560" max="2560" width="38" style="2" customWidth="1"/>
    <col min="2561" max="2561" width="31.453125" style="2" customWidth="1"/>
    <col min="2562" max="2562" width="21.453125" style="2" customWidth="1"/>
    <col min="2563" max="2563" width="19" style="2" customWidth="1"/>
    <col min="2564" max="2564" width="14" style="2" customWidth="1"/>
    <col min="2565" max="2565" width="19.1796875" style="2" customWidth="1"/>
    <col min="2566" max="2566" width="15.81640625" style="2" customWidth="1"/>
    <col min="2567" max="2568" width="11.453125" style="2"/>
    <col min="2569" max="2569" width="12.81640625" style="2" customWidth="1"/>
    <col min="2570" max="2570" width="11.453125" style="2" customWidth="1"/>
    <col min="2571" max="2571" width="14.453125" style="2" customWidth="1"/>
    <col min="2572" max="2814" width="11.453125" style="2"/>
    <col min="2815" max="2815" width="14.453125" style="2" customWidth="1"/>
    <col min="2816" max="2816" width="38" style="2" customWidth="1"/>
    <col min="2817" max="2817" width="31.453125" style="2" customWidth="1"/>
    <col min="2818" max="2818" width="21.453125" style="2" customWidth="1"/>
    <col min="2819" max="2819" width="19" style="2" customWidth="1"/>
    <col min="2820" max="2820" width="14" style="2" customWidth="1"/>
    <col min="2821" max="2821" width="19.1796875" style="2" customWidth="1"/>
    <col min="2822" max="2822" width="15.81640625" style="2" customWidth="1"/>
    <col min="2823" max="2824" width="11.453125" style="2"/>
    <col min="2825" max="2825" width="12.81640625" style="2" customWidth="1"/>
    <col min="2826" max="2826" width="11.453125" style="2" customWidth="1"/>
    <col min="2827" max="2827" width="14.453125" style="2" customWidth="1"/>
    <col min="2828" max="3070" width="11.453125" style="2"/>
    <col min="3071" max="3071" width="14.453125" style="2" customWidth="1"/>
    <col min="3072" max="3072" width="38" style="2" customWidth="1"/>
    <col min="3073" max="3073" width="31.453125" style="2" customWidth="1"/>
    <col min="3074" max="3074" width="21.453125" style="2" customWidth="1"/>
    <col min="3075" max="3075" width="19" style="2" customWidth="1"/>
    <col min="3076" max="3076" width="14" style="2" customWidth="1"/>
    <col min="3077" max="3077" width="19.1796875" style="2" customWidth="1"/>
    <col min="3078" max="3078" width="15.81640625" style="2" customWidth="1"/>
    <col min="3079" max="3080" width="11.453125" style="2"/>
    <col min="3081" max="3081" width="12.81640625" style="2" customWidth="1"/>
    <col min="3082" max="3082" width="11.453125" style="2" customWidth="1"/>
    <col min="3083" max="3083" width="14.453125" style="2" customWidth="1"/>
    <col min="3084" max="3326" width="11.453125" style="2"/>
    <col min="3327" max="3327" width="14.453125" style="2" customWidth="1"/>
    <col min="3328" max="3328" width="38" style="2" customWidth="1"/>
    <col min="3329" max="3329" width="31.453125" style="2" customWidth="1"/>
    <col min="3330" max="3330" width="21.453125" style="2" customWidth="1"/>
    <col min="3331" max="3331" width="19" style="2" customWidth="1"/>
    <col min="3332" max="3332" width="14" style="2" customWidth="1"/>
    <col min="3333" max="3333" width="19.1796875" style="2" customWidth="1"/>
    <col min="3334" max="3334" width="15.81640625" style="2" customWidth="1"/>
    <col min="3335" max="3336" width="11.453125" style="2"/>
    <col min="3337" max="3337" width="12.81640625" style="2" customWidth="1"/>
    <col min="3338" max="3338" width="11.453125" style="2" customWidth="1"/>
    <col min="3339" max="3339" width="14.453125" style="2" customWidth="1"/>
    <col min="3340" max="3582" width="11.453125" style="2"/>
    <col min="3583" max="3583" width="14.453125" style="2" customWidth="1"/>
    <col min="3584" max="3584" width="38" style="2" customWidth="1"/>
    <col min="3585" max="3585" width="31.453125" style="2" customWidth="1"/>
    <col min="3586" max="3586" width="21.453125" style="2" customWidth="1"/>
    <col min="3587" max="3587" width="19" style="2" customWidth="1"/>
    <col min="3588" max="3588" width="14" style="2" customWidth="1"/>
    <col min="3589" max="3589" width="19.1796875" style="2" customWidth="1"/>
    <col min="3590" max="3590" width="15.81640625" style="2" customWidth="1"/>
    <col min="3591" max="3592" width="11.453125" style="2"/>
    <col min="3593" max="3593" width="12.81640625" style="2" customWidth="1"/>
    <col min="3594" max="3594" width="11.453125" style="2" customWidth="1"/>
    <col min="3595" max="3595" width="14.453125" style="2" customWidth="1"/>
    <col min="3596" max="3838" width="11.453125" style="2"/>
    <col min="3839" max="3839" width="14.453125" style="2" customWidth="1"/>
    <col min="3840" max="3840" width="38" style="2" customWidth="1"/>
    <col min="3841" max="3841" width="31.453125" style="2" customWidth="1"/>
    <col min="3842" max="3842" width="21.453125" style="2" customWidth="1"/>
    <col min="3843" max="3843" width="19" style="2" customWidth="1"/>
    <col min="3844" max="3844" width="14" style="2" customWidth="1"/>
    <col min="3845" max="3845" width="19.1796875" style="2" customWidth="1"/>
    <col min="3846" max="3846" width="15.81640625" style="2" customWidth="1"/>
    <col min="3847" max="3848" width="11.453125" style="2"/>
    <col min="3849" max="3849" width="12.81640625" style="2" customWidth="1"/>
    <col min="3850" max="3850" width="11.453125" style="2" customWidth="1"/>
    <col min="3851" max="3851" width="14.453125" style="2" customWidth="1"/>
    <col min="3852" max="4094" width="11.453125" style="2"/>
    <col min="4095" max="4095" width="14.453125" style="2" customWidth="1"/>
    <col min="4096" max="4096" width="38" style="2" customWidth="1"/>
    <col min="4097" max="4097" width="31.453125" style="2" customWidth="1"/>
    <col min="4098" max="4098" width="21.453125" style="2" customWidth="1"/>
    <col min="4099" max="4099" width="19" style="2" customWidth="1"/>
    <col min="4100" max="4100" width="14" style="2" customWidth="1"/>
    <col min="4101" max="4101" width="19.1796875" style="2" customWidth="1"/>
    <col min="4102" max="4102" width="15.81640625" style="2" customWidth="1"/>
    <col min="4103" max="4104" width="11.453125" style="2"/>
    <col min="4105" max="4105" width="12.81640625" style="2" customWidth="1"/>
    <col min="4106" max="4106" width="11.453125" style="2" customWidth="1"/>
    <col min="4107" max="4107" width="14.453125" style="2" customWidth="1"/>
    <col min="4108" max="4350" width="11.453125" style="2"/>
    <col min="4351" max="4351" width="14.453125" style="2" customWidth="1"/>
    <col min="4352" max="4352" width="38" style="2" customWidth="1"/>
    <col min="4353" max="4353" width="31.453125" style="2" customWidth="1"/>
    <col min="4354" max="4354" width="21.453125" style="2" customWidth="1"/>
    <col min="4355" max="4355" width="19" style="2" customWidth="1"/>
    <col min="4356" max="4356" width="14" style="2" customWidth="1"/>
    <col min="4357" max="4357" width="19.1796875" style="2" customWidth="1"/>
    <col min="4358" max="4358" width="15.81640625" style="2" customWidth="1"/>
    <col min="4359" max="4360" width="11.453125" style="2"/>
    <col min="4361" max="4361" width="12.81640625" style="2" customWidth="1"/>
    <col min="4362" max="4362" width="11.453125" style="2" customWidth="1"/>
    <col min="4363" max="4363" width="14.453125" style="2" customWidth="1"/>
    <col min="4364" max="4606" width="11.453125" style="2"/>
    <col min="4607" max="4607" width="14.453125" style="2" customWidth="1"/>
    <col min="4608" max="4608" width="38" style="2" customWidth="1"/>
    <col min="4609" max="4609" width="31.453125" style="2" customWidth="1"/>
    <col min="4610" max="4610" width="21.453125" style="2" customWidth="1"/>
    <col min="4611" max="4611" width="19" style="2" customWidth="1"/>
    <col min="4612" max="4612" width="14" style="2" customWidth="1"/>
    <col min="4613" max="4613" width="19.1796875" style="2" customWidth="1"/>
    <col min="4614" max="4614" width="15.81640625" style="2" customWidth="1"/>
    <col min="4615" max="4616" width="11.453125" style="2"/>
    <col min="4617" max="4617" width="12.81640625" style="2" customWidth="1"/>
    <col min="4618" max="4618" width="11.453125" style="2" customWidth="1"/>
    <col min="4619" max="4619" width="14.453125" style="2" customWidth="1"/>
    <col min="4620" max="4862" width="11.453125" style="2"/>
    <col min="4863" max="4863" width="14.453125" style="2" customWidth="1"/>
    <col min="4864" max="4864" width="38" style="2" customWidth="1"/>
    <col min="4865" max="4865" width="31.453125" style="2" customWidth="1"/>
    <col min="4866" max="4866" width="21.453125" style="2" customWidth="1"/>
    <col min="4867" max="4867" width="19" style="2" customWidth="1"/>
    <col min="4868" max="4868" width="14" style="2" customWidth="1"/>
    <col min="4869" max="4869" width="19.1796875" style="2" customWidth="1"/>
    <col min="4870" max="4870" width="15.81640625" style="2" customWidth="1"/>
    <col min="4871" max="4872" width="11.453125" style="2"/>
    <col min="4873" max="4873" width="12.81640625" style="2" customWidth="1"/>
    <col min="4874" max="4874" width="11.453125" style="2" customWidth="1"/>
    <col min="4875" max="4875" width="14.453125" style="2" customWidth="1"/>
    <col min="4876" max="5118" width="11.453125" style="2"/>
    <col min="5119" max="5119" width="14.453125" style="2" customWidth="1"/>
    <col min="5120" max="5120" width="38" style="2" customWidth="1"/>
    <col min="5121" max="5121" width="31.453125" style="2" customWidth="1"/>
    <col min="5122" max="5122" width="21.453125" style="2" customWidth="1"/>
    <col min="5123" max="5123" width="19" style="2" customWidth="1"/>
    <col min="5124" max="5124" width="14" style="2" customWidth="1"/>
    <col min="5125" max="5125" width="19.1796875" style="2" customWidth="1"/>
    <col min="5126" max="5126" width="15.81640625" style="2" customWidth="1"/>
    <col min="5127" max="5128" width="11.453125" style="2"/>
    <col min="5129" max="5129" width="12.81640625" style="2" customWidth="1"/>
    <col min="5130" max="5130" width="11.453125" style="2" customWidth="1"/>
    <col min="5131" max="5131" width="14.453125" style="2" customWidth="1"/>
    <col min="5132" max="5374" width="11.453125" style="2"/>
    <col min="5375" max="5375" width="14.453125" style="2" customWidth="1"/>
    <col min="5376" max="5376" width="38" style="2" customWidth="1"/>
    <col min="5377" max="5377" width="31.453125" style="2" customWidth="1"/>
    <col min="5378" max="5378" width="21.453125" style="2" customWidth="1"/>
    <col min="5379" max="5379" width="19" style="2" customWidth="1"/>
    <col min="5380" max="5380" width="14" style="2" customWidth="1"/>
    <col min="5381" max="5381" width="19.1796875" style="2" customWidth="1"/>
    <col min="5382" max="5382" width="15.81640625" style="2" customWidth="1"/>
    <col min="5383" max="5384" width="11.453125" style="2"/>
    <col min="5385" max="5385" width="12.81640625" style="2" customWidth="1"/>
    <col min="5386" max="5386" width="11.453125" style="2" customWidth="1"/>
    <col min="5387" max="5387" width="14.453125" style="2" customWidth="1"/>
    <col min="5388" max="5630" width="11.453125" style="2"/>
    <col min="5631" max="5631" width="14.453125" style="2" customWidth="1"/>
    <col min="5632" max="5632" width="38" style="2" customWidth="1"/>
    <col min="5633" max="5633" width="31.453125" style="2" customWidth="1"/>
    <col min="5634" max="5634" width="21.453125" style="2" customWidth="1"/>
    <col min="5635" max="5635" width="19" style="2" customWidth="1"/>
    <col min="5636" max="5636" width="14" style="2" customWidth="1"/>
    <col min="5637" max="5637" width="19.1796875" style="2" customWidth="1"/>
    <col min="5638" max="5638" width="15.81640625" style="2" customWidth="1"/>
    <col min="5639" max="5640" width="11.453125" style="2"/>
    <col min="5641" max="5641" width="12.81640625" style="2" customWidth="1"/>
    <col min="5642" max="5642" width="11.453125" style="2" customWidth="1"/>
    <col min="5643" max="5643" width="14.453125" style="2" customWidth="1"/>
    <col min="5644" max="5886" width="11.453125" style="2"/>
    <col min="5887" max="5887" width="14.453125" style="2" customWidth="1"/>
    <col min="5888" max="5888" width="38" style="2" customWidth="1"/>
    <col min="5889" max="5889" width="31.453125" style="2" customWidth="1"/>
    <col min="5890" max="5890" width="21.453125" style="2" customWidth="1"/>
    <col min="5891" max="5891" width="19" style="2" customWidth="1"/>
    <col min="5892" max="5892" width="14" style="2" customWidth="1"/>
    <col min="5893" max="5893" width="19.1796875" style="2" customWidth="1"/>
    <col min="5894" max="5894" width="15.81640625" style="2" customWidth="1"/>
    <col min="5895" max="5896" width="11.453125" style="2"/>
    <col min="5897" max="5897" width="12.81640625" style="2" customWidth="1"/>
    <col min="5898" max="5898" width="11.453125" style="2" customWidth="1"/>
    <col min="5899" max="5899" width="14.453125" style="2" customWidth="1"/>
    <col min="5900" max="6142" width="11.453125" style="2"/>
    <col min="6143" max="6143" width="14.453125" style="2" customWidth="1"/>
    <col min="6144" max="6144" width="38" style="2" customWidth="1"/>
    <col min="6145" max="6145" width="31.453125" style="2" customWidth="1"/>
    <col min="6146" max="6146" width="21.453125" style="2" customWidth="1"/>
    <col min="6147" max="6147" width="19" style="2" customWidth="1"/>
    <col min="6148" max="6148" width="14" style="2" customWidth="1"/>
    <col min="6149" max="6149" width="19.1796875" style="2" customWidth="1"/>
    <col min="6150" max="6150" width="15.81640625" style="2" customWidth="1"/>
    <col min="6151" max="6152" width="11.453125" style="2"/>
    <col min="6153" max="6153" width="12.81640625" style="2" customWidth="1"/>
    <col min="6154" max="6154" width="11.453125" style="2" customWidth="1"/>
    <col min="6155" max="6155" width="14.453125" style="2" customWidth="1"/>
    <col min="6156" max="6398" width="11.453125" style="2"/>
    <col min="6399" max="6399" width="14.453125" style="2" customWidth="1"/>
    <col min="6400" max="6400" width="38" style="2" customWidth="1"/>
    <col min="6401" max="6401" width="31.453125" style="2" customWidth="1"/>
    <col min="6402" max="6402" width="21.453125" style="2" customWidth="1"/>
    <col min="6403" max="6403" width="19" style="2" customWidth="1"/>
    <col min="6404" max="6404" width="14" style="2" customWidth="1"/>
    <col min="6405" max="6405" width="19.1796875" style="2" customWidth="1"/>
    <col min="6406" max="6406" width="15.81640625" style="2" customWidth="1"/>
    <col min="6407" max="6408" width="11.453125" style="2"/>
    <col min="6409" max="6409" width="12.81640625" style="2" customWidth="1"/>
    <col min="6410" max="6410" width="11.453125" style="2" customWidth="1"/>
    <col min="6411" max="6411" width="14.453125" style="2" customWidth="1"/>
    <col min="6412" max="6654" width="11.453125" style="2"/>
    <col min="6655" max="6655" width="14.453125" style="2" customWidth="1"/>
    <col min="6656" max="6656" width="38" style="2" customWidth="1"/>
    <col min="6657" max="6657" width="31.453125" style="2" customWidth="1"/>
    <col min="6658" max="6658" width="21.453125" style="2" customWidth="1"/>
    <col min="6659" max="6659" width="19" style="2" customWidth="1"/>
    <col min="6660" max="6660" width="14" style="2" customWidth="1"/>
    <col min="6661" max="6661" width="19.1796875" style="2" customWidth="1"/>
    <col min="6662" max="6662" width="15.81640625" style="2" customWidth="1"/>
    <col min="6663" max="6664" width="11.453125" style="2"/>
    <col min="6665" max="6665" width="12.81640625" style="2" customWidth="1"/>
    <col min="6666" max="6666" width="11.453125" style="2" customWidth="1"/>
    <col min="6667" max="6667" width="14.453125" style="2" customWidth="1"/>
    <col min="6668" max="6910" width="11.453125" style="2"/>
    <col min="6911" max="6911" width="14.453125" style="2" customWidth="1"/>
    <col min="6912" max="6912" width="38" style="2" customWidth="1"/>
    <col min="6913" max="6913" width="31.453125" style="2" customWidth="1"/>
    <col min="6914" max="6914" width="21.453125" style="2" customWidth="1"/>
    <col min="6915" max="6915" width="19" style="2" customWidth="1"/>
    <col min="6916" max="6916" width="14" style="2" customWidth="1"/>
    <col min="6917" max="6917" width="19.1796875" style="2" customWidth="1"/>
    <col min="6918" max="6918" width="15.81640625" style="2" customWidth="1"/>
    <col min="6919" max="6920" width="11.453125" style="2"/>
    <col min="6921" max="6921" width="12.81640625" style="2" customWidth="1"/>
    <col min="6922" max="6922" width="11.453125" style="2" customWidth="1"/>
    <col min="6923" max="6923" width="14.453125" style="2" customWidth="1"/>
    <col min="6924" max="7166" width="11.453125" style="2"/>
    <col min="7167" max="7167" width="14.453125" style="2" customWidth="1"/>
    <col min="7168" max="7168" width="38" style="2" customWidth="1"/>
    <col min="7169" max="7169" width="31.453125" style="2" customWidth="1"/>
    <col min="7170" max="7170" width="21.453125" style="2" customWidth="1"/>
    <col min="7171" max="7171" width="19" style="2" customWidth="1"/>
    <col min="7172" max="7172" width="14" style="2" customWidth="1"/>
    <col min="7173" max="7173" width="19.1796875" style="2" customWidth="1"/>
    <col min="7174" max="7174" width="15.81640625" style="2" customWidth="1"/>
    <col min="7175" max="7176" width="11.453125" style="2"/>
    <col min="7177" max="7177" width="12.81640625" style="2" customWidth="1"/>
    <col min="7178" max="7178" width="11.453125" style="2" customWidth="1"/>
    <col min="7179" max="7179" width="14.453125" style="2" customWidth="1"/>
    <col min="7180" max="7422" width="11.453125" style="2"/>
    <col min="7423" max="7423" width="14.453125" style="2" customWidth="1"/>
    <col min="7424" max="7424" width="38" style="2" customWidth="1"/>
    <col min="7425" max="7425" width="31.453125" style="2" customWidth="1"/>
    <col min="7426" max="7426" width="21.453125" style="2" customWidth="1"/>
    <col min="7427" max="7427" width="19" style="2" customWidth="1"/>
    <col min="7428" max="7428" width="14" style="2" customWidth="1"/>
    <col min="7429" max="7429" width="19.1796875" style="2" customWidth="1"/>
    <col min="7430" max="7430" width="15.81640625" style="2" customWidth="1"/>
    <col min="7431" max="7432" width="11.453125" style="2"/>
    <col min="7433" max="7433" width="12.81640625" style="2" customWidth="1"/>
    <col min="7434" max="7434" width="11.453125" style="2" customWidth="1"/>
    <col min="7435" max="7435" width="14.453125" style="2" customWidth="1"/>
    <col min="7436" max="7678" width="11.453125" style="2"/>
    <col min="7679" max="7679" width="14.453125" style="2" customWidth="1"/>
    <col min="7680" max="7680" width="38" style="2" customWidth="1"/>
    <col min="7681" max="7681" width="31.453125" style="2" customWidth="1"/>
    <col min="7682" max="7682" width="21.453125" style="2" customWidth="1"/>
    <col min="7683" max="7683" width="19" style="2" customWidth="1"/>
    <col min="7684" max="7684" width="14" style="2" customWidth="1"/>
    <col min="7685" max="7685" width="19.1796875" style="2" customWidth="1"/>
    <col min="7686" max="7686" width="15.81640625" style="2" customWidth="1"/>
    <col min="7687" max="7688" width="11.453125" style="2"/>
    <col min="7689" max="7689" width="12.81640625" style="2" customWidth="1"/>
    <col min="7690" max="7690" width="11.453125" style="2" customWidth="1"/>
    <col min="7691" max="7691" width="14.453125" style="2" customWidth="1"/>
    <col min="7692" max="7934" width="11.453125" style="2"/>
    <col min="7935" max="7935" width="14.453125" style="2" customWidth="1"/>
    <col min="7936" max="7936" width="38" style="2" customWidth="1"/>
    <col min="7937" max="7937" width="31.453125" style="2" customWidth="1"/>
    <col min="7938" max="7938" width="21.453125" style="2" customWidth="1"/>
    <col min="7939" max="7939" width="19" style="2" customWidth="1"/>
    <col min="7940" max="7940" width="14" style="2" customWidth="1"/>
    <col min="7941" max="7941" width="19.1796875" style="2" customWidth="1"/>
    <col min="7942" max="7942" width="15.81640625" style="2" customWidth="1"/>
    <col min="7943" max="7944" width="11.453125" style="2"/>
    <col min="7945" max="7945" width="12.81640625" style="2" customWidth="1"/>
    <col min="7946" max="7946" width="11.453125" style="2" customWidth="1"/>
    <col min="7947" max="7947" width="14.453125" style="2" customWidth="1"/>
    <col min="7948" max="8190" width="11.453125" style="2"/>
    <col min="8191" max="8191" width="14.453125" style="2" customWidth="1"/>
    <col min="8192" max="8192" width="38" style="2" customWidth="1"/>
    <col min="8193" max="8193" width="31.453125" style="2" customWidth="1"/>
    <col min="8194" max="8194" width="21.453125" style="2" customWidth="1"/>
    <col min="8195" max="8195" width="19" style="2" customWidth="1"/>
    <col min="8196" max="8196" width="14" style="2" customWidth="1"/>
    <col min="8197" max="8197" width="19.1796875" style="2" customWidth="1"/>
    <col min="8198" max="8198" width="15.81640625" style="2" customWidth="1"/>
    <col min="8199" max="8200" width="11.453125" style="2"/>
    <col min="8201" max="8201" width="12.81640625" style="2" customWidth="1"/>
    <col min="8202" max="8202" width="11.453125" style="2" customWidth="1"/>
    <col min="8203" max="8203" width="14.453125" style="2" customWidth="1"/>
    <col min="8204" max="8446" width="11.453125" style="2"/>
    <col min="8447" max="8447" width="14.453125" style="2" customWidth="1"/>
    <col min="8448" max="8448" width="38" style="2" customWidth="1"/>
    <col min="8449" max="8449" width="31.453125" style="2" customWidth="1"/>
    <col min="8450" max="8450" width="21.453125" style="2" customWidth="1"/>
    <col min="8451" max="8451" width="19" style="2" customWidth="1"/>
    <col min="8452" max="8452" width="14" style="2" customWidth="1"/>
    <col min="8453" max="8453" width="19.1796875" style="2" customWidth="1"/>
    <col min="8454" max="8454" width="15.81640625" style="2" customWidth="1"/>
    <col min="8455" max="8456" width="11.453125" style="2"/>
    <col min="8457" max="8457" width="12.81640625" style="2" customWidth="1"/>
    <col min="8458" max="8458" width="11.453125" style="2" customWidth="1"/>
    <col min="8459" max="8459" width="14.453125" style="2" customWidth="1"/>
    <col min="8460" max="8702" width="11.453125" style="2"/>
    <col min="8703" max="8703" width="14.453125" style="2" customWidth="1"/>
    <col min="8704" max="8704" width="38" style="2" customWidth="1"/>
    <col min="8705" max="8705" width="31.453125" style="2" customWidth="1"/>
    <col min="8706" max="8706" width="21.453125" style="2" customWidth="1"/>
    <col min="8707" max="8707" width="19" style="2" customWidth="1"/>
    <col min="8708" max="8708" width="14" style="2" customWidth="1"/>
    <col min="8709" max="8709" width="19.1796875" style="2" customWidth="1"/>
    <col min="8710" max="8710" width="15.81640625" style="2" customWidth="1"/>
    <col min="8711" max="8712" width="11.453125" style="2"/>
    <col min="8713" max="8713" width="12.81640625" style="2" customWidth="1"/>
    <col min="8714" max="8714" width="11.453125" style="2" customWidth="1"/>
    <col min="8715" max="8715" width="14.453125" style="2" customWidth="1"/>
    <col min="8716" max="8958" width="11.453125" style="2"/>
    <col min="8959" max="8959" width="14.453125" style="2" customWidth="1"/>
    <col min="8960" max="8960" width="38" style="2" customWidth="1"/>
    <col min="8961" max="8961" width="31.453125" style="2" customWidth="1"/>
    <col min="8962" max="8962" width="21.453125" style="2" customWidth="1"/>
    <col min="8963" max="8963" width="19" style="2" customWidth="1"/>
    <col min="8964" max="8964" width="14" style="2" customWidth="1"/>
    <col min="8965" max="8965" width="19.1796875" style="2" customWidth="1"/>
    <col min="8966" max="8966" width="15.81640625" style="2" customWidth="1"/>
    <col min="8967" max="8968" width="11.453125" style="2"/>
    <col min="8969" max="8969" width="12.81640625" style="2" customWidth="1"/>
    <col min="8970" max="8970" width="11.453125" style="2" customWidth="1"/>
    <col min="8971" max="8971" width="14.453125" style="2" customWidth="1"/>
    <col min="8972" max="9214" width="11.453125" style="2"/>
    <col min="9215" max="9215" width="14.453125" style="2" customWidth="1"/>
    <col min="9216" max="9216" width="38" style="2" customWidth="1"/>
    <col min="9217" max="9217" width="31.453125" style="2" customWidth="1"/>
    <col min="9218" max="9218" width="21.453125" style="2" customWidth="1"/>
    <col min="9219" max="9219" width="19" style="2" customWidth="1"/>
    <col min="9220" max="9220" width="14" style="2" customWidth="1"/>
    <col min="9221" max="9221" width="19.1796875" style="2" customWidth="1"/>
    <col min="9222" max="9222" width="15.81640625" style="2" customWidth="1"/>
    <col min="9223" max="9224" width="11.453125" style="2"/>
    <col min="9225" max="9225" width="12.81640625" style="2" customWidth="1"/>
    <col min="9226" max="9226" width="11.453125" style="2" customWidth="1"/>
    <col min="9227" max="9227" width="14.453125" style="2" customWidth="1"/>
    <col min="9228" max="9470" width="11.453125" style="2"/>
    <col min="9471" max="9471" width="14.453125" style="2" customWidth="1"/>
    <col min="9472" max="9472" width="38" style="2" customWidth="1"/>
    <col min="9473" max="9473" width="31.453125" style="2" customWidth="1"/>
    <col min="9474" max="9474" width="21.453125" style="2" customWidth="1"/>
    <col min="9475" max="9475" width="19" style="2" customWidth="1"/>
    <col min="9476" max="9476" width="14" style="2" customWidth="1"/>
    <col min="9477" max="9477" width="19.1796875" style="2" customWidth="1"/>
    <col min="9478" max="9478" width="15.81640625" style="2" customWidth="1"/>
    <col min="9479" max="9480" width="11.453125" style="2"/>
    <col min="9481" max="9481" width="12.81640625" style="2" customWidth="1"/>
    <col min="9482" max="9482" width="11.453125" style="2" customWidth="1"/>
    <col min="9483" max="9483" width="14.453125" style="2" customWidth="1"/>
    <col min="9484" max="9726" width="11.453125" style="2"/>
    <col min="9727" max="9727" width="14.453125" style="2" customWidth="1"/>
    <col min="9728" max="9728" width="38" style="2" customWidth="1"/>
    <col min="9729" max="9729" width="31.453125" style="2" customWidth="1"/>
    <col min="9730" max="9730" width="21.453125" style="2" customWidth="1"/>
    <col min="9731" max="9731" width="19" style="2" customWidth="1"/>
    <col min="9732" max="9732" width="14" style="2" customWidth="1"/>
    <col min="9733" max="9733" width="19.1796875" style="2" customWidth="1"/>
    <col min="9734" max="9734" width="15.81640625" style="2" customWidth="1"/>
    <col min="9735" max="9736" width="11.453125" style="2"/>
    <col min="9737" max="9737" width="12.81640625" style="2" customWidth="1"/>
    <col min="9738" max="9738" width="11.453125" style="2" customWidth="1"/>
    <col min="9739" max="9739" width="14.453125" style="2" customWidth="1"/>
    <col min="9740" max="9982" width="11.453125" style="2"/>
    <col min="9983" max="9983" width="14.453125" style="2" customWidth="1"/>
    <col min="9984" max="9984" width="38" style="2" customWidth="1"/>
    <col min="9985" max="9985" width="31.453125" style="2" customWidth="1"/>
    <col min="9986" max="9986" width="21.453125" style="2" customWidth="1"/>
    <col min="9987" max="9987" width="19" style="2" customWidth="1"/>
    <col min="9988" max="9988" width="14" style="2" customWidth="1"/>
    <col min="9989" max="9989" width="19.1796875" style="2" customWidth="1"/>
    <col min="9990" max="9990" width="15.81640625" style="2" customWidth="1"/>
    <col min="9991" max="9992" width="11.453125" style="2"/>
    <col min="9993" max="9993" width="12.81640625" style="2" customWidth="1"/>
    <col min="9994" max="9994" width="11.453125" style="2" customWidth="1"/>
    <col min="9995" max="9995" width="14.453125" style="2" customWidth="1"/>
    <col min="9996" max="10238" width="11.453125" style="2"/>
    <col min="10239" max="10239" width="14.453125" style="2" customWidth="1"/>
    <col min="10240" max="10240" width="38" style="2" customWidth="1"/>
    <col min="10241" max="10241" width="31.453125" style="2" customWidth="1"/>
    <col min="10242" max="10242" width="21.453125" style="2" customWidth="1"/>
    <col min="10243" max="10243" width="19" style="2" customWidth="1"/>
    <col min="10244" max="10244" width="14" style="2" customWidth="1"/>
    <col min="10245" max="10245" width="19.1796875" style="2" customWidth="1"/>
    <col min="10246" max="10246" width="15.81640625" style="2" customWidth="1"/>
    <col min="10247" max="10248" width="11.453125" style="2"/>
    <col min="10249" max="10249" width="12.81640625" style="2" customWidth="1"/>
    <col min="10250" max="10250" width="11.453125" style="2" customWidth="1"/>
    <col min="10251" max="10251" width="14.453125" style="2" customWidth="1"/>
    <col min="10252" max="10494" width="11.453125" style="2"/>
    <col min="10495" max="10495" width="14.453125" style="2" customWidth="1"/>
    <col min="10496" max="10496" width="38" style="2" customWidth="1"/>
    <col min="10497" max="10497" width="31.453125" style="2" customWidth="1"/>
    <col min="10498" max="10498" width="21.453125" style="2" customWidth="1"/>
    <col min="10499" max="10499" width="19" style="2" customWidth="1"/>
    <col min="10500" max="10500" width="14" style="2" customWidth="1"/>
    <col min="10501" max="10501" width="19.1796875" style="2" customWidth="1"/>
    <col min="10502" max="10502" width="15.81640625" style="2" customWidth="1"/>
    <col min="10503" max="10504" width="11.453125" style="2"/>
    <col min="10505" max="10505" width="12.81640625" style="2" customWidth="1"/>
    <col min="10506" max="10506" width="11.453125" style="2" customWidth="1"/>
    <col min="10507" max="10507" width="14.453125" style="2" customWidth="1"/>
    <col min="10508" max="10750" width="11.453125" style="2"/>
    <col min="10751" max="10751" width="14.453125" style="2" customWidth="1"/>
    <col min="10752" max="10752" width="38" style="2" customWidth="1"/>
    <col min="10753" max="10753" width="31.453125" style="2" customWidth="1"/>
    <col min="10754" max="10754" width="21.453125" style="2" customWidth="1"/>
    <col min="10755" max="10755" width="19" style="2" customWidth="1"/>
    <col min="10756" max="10756" width="14" style="2" customWidth="1"/>
    <col min="10757" max="10757" width="19.1796875" style="2" customWidth="1"/>
    <col min="10758" max="10758" width="15.81640625" style="2" customWidth="1"/>
    <col min="10759" max="10760" width="11.453125" style="2"/>
    <col min="10761" max="10761" width="12.81640625" style="2" customWidth="1"/>
    <col min="10762" max="10762" width="11.453125" style="2" customWidth="1"/>
    <col min="10763" max="10763" width="14.453125" style="2" customWidth="1"/>
    <col min="10764" max="11006" width="11.453125" style="2"/>
    <col min="11007" max="11007" width="14.453125" style="2" customWidth="1"/>
    <col min="11008" max="11008" width="38" style="2" customWidth="1"/>
    <col min="11009" max="11009" width="31.453125" style="2" customWidth="1"/>
    <col min="11010" max="11010" width="21.453125" style="2" customWidth="1"/>
    <col min="11011" max="11011" width="19" style="2" customWidth="1"/>
    <col min="11012" max="11012" width="14" style="2" customWidth="1"/>
    <col min="11013" max="11013" width="19.1796875" style="2" customWidth="1"/>
    <col min="11014" max="11014" width="15.81640625" style="2" customWidth="1"/>
    <col min="11015" max="11016" width="11.453125" style="2"/>
    <col min="11017" max="11017" width="12.81640625" style="2" customWidth="1"/>
    <col min="11018" max="11018" width="11.453125" style="2" customWidth="1"/>
    <col min="11019" max="11019" width="14.453125" style="2" customWidth="1"/>
    <col min="11020" max="11262" width="11.453125" style="2"/>
    <col min="11263" max="11263" width="14.453125" style="2" customWidth="1"/>
    <col min="11264" max="11264" width="38" style="2" customWidth="1"/>
    <col min="11265" max="11265" width="31.453125" style="2" customWidth="1"/>
    <col min="11266" max="11266" width="21.453125" style="2" customWidth="1"/>
    <col min="11267" max="11267" width="19" style="2" customWidth="1"/>
    <col min="11268" max="11268" width="14" style="2" customWidth="1"/>
    <col min="11269" max="11269" width="19.1796875" style="2" customWidth="1"/>
    <col min="11270" max="11270" width="15.81640625" style="2" customWidth="1"/>
    <col min="11271" max="11272" width="11.453125" style="2"/>
    <col min="11273" max="11273" width="12.81640625" style="2" customWidth="1"/>
    <col min="11274" max="11274" width="11.453125" style="2" customWidth="1"/>
    <col min="11275" max="11275" width="14.453125" style="2" customWidth="1"/>
    <col min="11276" max="11518" width="11.453125" style="2"/>
    <col min="11519" max="11519" width="14.453125" style="2" customWidth="1"/>
    <col min="11520" max="11520" width="38" style="2" customWidth="1"/>
    <col min="11521" max="11521" width="31.453125" style="2" customWidth="1"/>
    <col min="11522" max="11522" width="21.453125" style="2" customWidth="1"/>
    <col min="11523" max="11523" width="19" style="2" customWidth="1"/>
    <col min="11524" max="11524" width="14" style="2" customWidth="1"/>
    <col min="11525" max="11525" width="19.1796875" style="2" customWidth="1"/>
    <col min="11526" max="11526" width="15.81640625" style="2" customWidth="1"/>
    <col min="11527" max="11528" width="11.453125" style="2"/>
    <col min="11529" max="11529" width="12.81640625" style="2" customWidth="1"/>
    <col min="11530" max="11530" width="11.453125" style="2" customWidth="1"/>
    <col min="11531" max="11531" width="14.453125" style="2" customWidth="1"/>
    <col min="11532" max="11774" width="11.453125" style="2"/>
    <col min="11775" max="11775" width="14.453125" style="2" customWidth="1"/>
    <col min="11776" max="11776" width="38" style="2" customWidth="1"/>
    <col min="11777" max="11777" width="31.453125" style="2" customWidth="1"/>
    <col min="11778" max="11778" width="21.453125" style="2" customWidth="1"/>
    <col min="11779" max="11779" width="19" style="2" customWidth="1"/>
    <col min="11780" max="11780" width="14" style="2" customWidth="1"/>
    <col min="11781" max="11781" width="19.1796875" style="2" customWidth="1"/>
    <col min="11782" max="11782" width="15.81640625" style="2" customWidth="1"/>
    <col min="11783" max="11784" width="11.453125" style="2"/>
    <col min="11785" max="11785" width="12.81640625" style="2" customWidth="1"/>
    <col min="11786" max="11786" width="11.453125" style="2" customWidth="1"/>
    <col min="11787" max="11787" width="14.453125" style="2" customWidth="1"/>
    <col min="11788" max="12030" width="11.453125" style="2"/>
    <col min="12031" max="12031" width="14.453125" style="2" customWidth="1"/>
    <col min="12032" max="12032" width="38" style="2" customWidth="1"/>
    <col min="12033" max="12033" width="31.453125" style="2" customWidth="1"/>
    <col min="12034" max="12034" width="21.453125" style="2" customWidth="1"/>
    <col min="12035" max="12035" width="19" style="2" customWidth="1"/>
    <col min="12036" max="12036" width="14" style="2" customWidth="1"/>
    <col min="12037" max="12037" width="19.1796875" style="2" customWidth="1"/>
    <col min="12038" max="12038" width="15.81640625" style="2" customWidth="1"/>
    <col min="12039" max="12040" width="11.453125" style="2"/>
    <col min="12041" max="12041" width="12.81640625" style="2" customWidth="1"/>
    <col min="12042" max="12042" width="11.453125" style="2" customWidth="1"/>
    <col min="12043" max="12043" width="14.453125" style="2" customWidth="1"/>
    <col min="12044" max="12286" width="11.453125" style="2"/>
    <col min="12287" max="12287" width="14.453125" style="2" customWidth="1"/>
    <col min="12288" max="12288" width="38" style="2" customWidth="1"/>
    <col min="12289" max="12289" width="31.453125" style="2" customWidth="1"/>
    <col min="12290" max="12290" width="21.453125" style="2" customWidth="1"/>
    <col min="12291" max="12291" width="19" style="2" customWidth="1"/>
    <col min="12292" max="12292" width="14" style="2" customWidth="1"/>
    <col min="12293" max="12293" width="19.1796875" style="2" customWidth="1"/>
    <col min="12294" max="12294" width="15.81640625" style="2" customWidth="1"/>
    <col min="12295" max="12296" width="11.453125" style="2"/>
    <col min="12297" max="12297" width="12.81640625" style="2" customWidth="1"/>
    <col min="12298" max="12298" width="11.453125" style="2" customWidth="1"/>
    <col min="12299" max="12299" width="14.453125" style="2" customWidth="1"/>
    <col min="12300" max="12542" width="11.453125" style="2"/>
    <col min="12543" max="12543" width="14.453125" style="2" customWidth="1"/>
    <col min="12544" max="12544" width="38" style="2" customWidth="1"/>
    <col min="12545" max="12545" width="31.453125" style="2" customWidth="1"/>
    <col min="12546" max="12546" width="21.453125" style="2" customWidth="1"/>
    <col min="12547" max="12547" width="19" style="2" customWidth="1"/>
    <col min="12548" max="12548" width="14" style="2" customWidth="1"/>
    <col min="12549" max="12549" width="19.1796875" style="2" customWidth="1"/>
    <col min="12550" max="12550" width="15.81640625" style="2" customWidth="1"/>
    <col min="12551" max="12552" width="11.453125" style="2"/>
    <col min="12553" max="12553" width="12.81640625" style="2" customWidth="1"/>
    <col min="12554" max="12554" width="11.453125" style="2" customWidth="1"/>
    <col min="12555" max="12555" width="14.453125" style="2" customWidth="1"/>
    <col min="12556" max="12798" width="11.453125" style="2"/>
    <col min="12799" max="12799" width="14.453125" style="2" customWidth="1"/>
    <col min="12800" max="12800" width="38" style="2" customWidth="1"/>
    <col min="12801" max="12801" width="31.453125" style="2" customWidth="1"/>
    <col min="12802" max="12802" width="21.453125" style="2" customWidth="1"/>
    <col min="12803" max="12803" width="19" style="2" customWidth="1"/>
    <col min="12804" max="12804" width="14" style="2" customWidth="1"/>
    <col min="12805" max="12805" width="19.1796875" style="2" customWidth="1"/>
    <col min="12806" max="12806" width="15.81640625" style="2" customWidth="1"/>
    <col min="12807" max="12808" width="11.453125" style="2"/>
    <col min="12809" max="12809" width="12.81640625" style="2" customWidth="1"/>
    <col min="12810" max="12810" width="11.453125" style="2" customWidth="1"/>
    <col min="12811" max="12811" width="14.453125" style="2" customWidth="1"/>
    <col min="12812" max="13054" width="11.453125" style="2"/>
    <col min="13055" max="13055" width="14.453125" style="2" customWidth="1"/>
    <col min="13056" max="13056" width="38" style="2" customWidth="1"/>
    <col min="13057" max="13057" width="31.453125" style="2" customWidth="1"/>
    <col min="13058" max="13058" width="21.453125" style="2" customWidth="1"/>
    <col min="13059" max="13059" width="19" style="2" customWidth="1"/>
    <col min="13060" max="13060" width="14" style="2" customWidth="1"/>
    <col min="13061" max="13061" width="19.1796875" style="2" customWidth="1"/>
    <col min="13062" max="13062" width="15.81640625" style="2" customWidth="1"/>
    <col min="13063" max="13064" width="11.453125" style="2"/>
    <col min="13065" max="13065" width="12.81640625" style="2" customWidth="1"/>
    <col min="13066" max="13066" width="11.453125" style="2" customWidth="1"/>
    <col min="13067" max="13067" width="14.453125" style="2" customWidth="1"/>
    <col min="13068" max="13310" width="11.453125" style="2"/>
    <col min="13311" max="13311" width="14.453125" style="2" customWidth="1"/>
    <col min="13312" max="13312" width="38" style="2" customWidth="1"/>
    <col min="13313" max="13313" width="31.453125" style="2" customWidth="1"/>
    <col min="13314" max="13314" width="21.453125" style="2" customWidth="1"/>
    <col min="13315" max="13315" width="19" style="2" customWidth="1"/>
    <col min="13316" max="13316" width="14" style="2" customWidth="1"/>
    <col min="13317" max="13317" width="19.1796875" style="2" customWidth="1"/>
    <col min="13318" max="13318" width="15.81640625" style="2" customWidth="1"/>
    <col min="13319" max="13320" width="11.453125" style="2"/>
    <col min="13321" max="13321" width="12.81640625" style="2" customWidth="1"/>
    <col min="13322" max="13322" width="11.453125" style="2" customWidth="1"/>
    <col min="13323" max="13323" width="14.453125" style="2" customWidth="1"/>
    <col min="13324" max="13566" width="11.453125" style="2"/>
    <col min="13567" max="13567" width="14.453125" style="2" customWidth="1"/>
    <col min="13568" max="13568" width="38" style="2" customWidth="1"/>
    <col min="13569" max="13569" width="31.453125" style="2" customWidth="1"/>
    <col min="13570" max="13570" width="21.453125" style="2" customWidth="1"/>
    <col min="13571" max="13571" width="19" style="2" customWidth="1"/>
    <col min="13572" max="13572" width="14" style="2" customWidth="1"/>
    <col min="13573" max="13573" width="19.1796875" style="2" customWidth="1"/>
    <col min="13574" max="13574" width="15.81640625" style="2" customWidth="1"/>
    <col min="13575" max="13576" width="11.453125" style="2"/>
    <col min="13577" max="13577" width="12.81640625" style="2" customWidth="1"/>
    <col min="13578" max="13578" width="11.453125" style="2" customWidth="1"/>
    <col min="13579" max="13579" width="14.453125" style="2" customWidth="1"/>
    <col min="13580" max="13822" width="11.453125" style="2"/>
    <col min="13823" max="13823" width="14.453125" style="2" customWidth="1"/>
    <col min="13824" max="13824" width="38" style="2" customWidth="1"/>
    <col min="13825" max="13825" width="31.453125" style="2" customWidth="1"/>
    <col min="13826" max="13826" width="21.453125" style="2" customWidth="1"/>
    <col min="13827" max="13827" width="19" style="2" customWidth="1"/>
    <col min="13828" max="13828" width="14" style="2" customWidth="1"/>
    <col min="13829" max="13829" width="19.1796875" style="2" customWidth="1"/>
    <col min="13830" max="13830" width="15.81640625" style="2" customWidth="1"/>
    <col min="13831" max="13832" width="11.453125" style="2"/>
    <col min="13833" max="13833" width="12.81640625" style="2" customWidth="1"/>
    <col min="13834" max="13834" width="11.453125" style="2" customWidth="1"/>
    <col min="13835" max="13835" width="14.453125" style="2" customWidth="1"/>
    <col min="13836" max="14078" width="11.453125" style="2"/>
    <col min="14079" max="14079" width="14.453125" style="2" customWidth="1"/>
    <col min="14080" max="14080" width="38" style="2" customWidth="1"/>
    <col min="14081" max="14081" width="31.453125" style="2" customWidth="1"/>
    <col min="14082" max="14082" width="21.453125" style="2" customWidth="1"/>
    <col min="14083" max="14083" width="19" style="2" customWidth="1"/>
    <col min="14084" max="14084" width="14" style="2" customWidth="1"/>
    <col min="14085" max="14085" width="19.1796875" style="2" customWidth="1"/>
    <col min="14086" max="14086" width="15.81640625" style="2" customWidth="1"/>
    <col min="14087" max="14088" width="11.453125" style="2"/>
    <col min="14089" max="14089" width="12.81640625" style="2" customWidth="1"/>
    <col min="14090" max="14090" width="11.453125" style="2" customWidth="1"/>
    <col min="14091" max="14091" width="14.453125" style="2" customWidth="1"/>
    <col min="14092" max="14334" width="11.453125" style="2"/>
    <col min="14335" max="14335" width="14.453125" style="2" customWidth="1"/>
    <col min="14336" max="14336" width="38" style="2" customWidth="1"/>
    <col min="14337" max="14337" width="31.453125" style="2" customWidth="1"/>
    <col min="14338" max="14338" width="21.453125" style="2" customWidth="1"/>
    <col min="14339" max="14339" width="19" style="2" customWidth="1"/>
    <col min="14340" max="14340" width="14" style="2" customWidth="1"/>
    <col min="14341" max="14341" width="19.1796875" style="2" customWidth="1"/>
    <col min="14342" max="14342" width="15.81640625" style="2" customWidth="1"/>
    <col min="14343" max="14344" width="11.453125" style="2"/>
    <col min="14345" max="14345" width="12.81640625" style="2" customWidth="1"/>
    <col min="14346" max="14346" width="11.453125" style="2" customWidth="1"/>
    <col min="14347" max="14347" width="14.453125" style="2" customWidth="1"/>
    <col min="14348" max="14590" width="11.453125" style="2"/>
    <col min="14591" max="14591" width="14.453125" style="2" customWidth="1"/>
    <col min="14592" max="14592" width="38" style="2" customWidth="1"/>
    <col min="14593" max="14593" width="31.453125" style="2" customWidth="1"/>
    <col min="14594" max="14594" width="21.453125" style="2" customWidth="1"/>
    <col min="14595" max="14595" width="19" style="2" customWidth="1"/>
    <col min="14596" max="14596" width="14" style="2" customWidth="1"/>
    <col min="14597" max="14597" width="19.1796875" style="2" customWidth="1"/>
    <col min="14598" max="14598" width="15.81640625" style="2" customWidth="1"/>
    <col min="14599" max="14600" width="11.453125" style="2"/>
    <col min="14601" max="14601" width="12.81640625" style="2" customWidth="1"/>
    <col min="14602" max="14602" width="11.453125" style="2" customWidth="1"/>
    <col min="14603" max="14603" width="14.453125" style="2" customWidth="1"/>
    <col min="14604" max="14846" width="11.453125" style="2"/>
    <col min="14847" max="14847" width="14.453125" style="2" customWidth="1"/>
    <col min="14848" max="14848" width="38" style="2" customWidth="1"/>
    <col min="14849" max="14849" width="31.453125" style="2" customWidth="1"/>
    <col min="14850" max="14850" width="21.453125" style="2" customWidth="1"/>
    <col min="14851" max="14851" width="19" style="2" customWidth="1"/>
    <col min="14852" max="14852" width="14" style="2" customWidth="1"/>
    <col min="14853" max="14853" width="19.1796875" style="2" customWidth="1"/>
    <col min="14854" max="14854" width="15.81640625" style="2" customWidth="1"/>
    <col min="14855" max="14856" width="11.453125" style="2"/>
    <col min="14857" max="14857" width="12.81640625" style="2" customWidth="1"/>
    <col min="14858" max="14858" width="11.453125" style="2" customWidth="1"/>
    <col min="14859" max="14859" width="14.453125" style="2" customWidth="1"/>
    <col min="14860" max="15102" width="11.453125" style="2"/>
    <col min="15103" max="15103" width="14.453125" style="2" customWidth="1"/>
    <col min="15104" max="15104" width="38" style="2" customWidth="1"/>
    <col min="15105" max="15105" width="31.453125" style="2" customWidth="1"/>
    <col min="15106" max="15106" width="21.453125" style="2" customWidth="1"/>
    <col min="15107" max="15107" width="19" style="2" customWidth="1"/>
    <col min="15108" max="15108" width="14" style="2" customWidth="1"/>
    <col min="15109" max="15109" width="19.1796875" style="2" customWidth="1"/>
    <col min="15110" max="15110" width="15.81640625" style="2" customWidth="1"/>
    <col min="15111" max="15112" width="11.453125" style="2"/>
    <col min="15113" max="15113" width="12.81640625" style="2" customWidth="1"/>
    <col min="15114" max="15114" width="11.453125" style="2" customWidth="1"/>
    <col min="15115" max="15115" width="14.453125" style="2" customWidth="1"/>
    <col min="15116" max="15358" width="11.453125" style="2"/>
    <col min="15359" max="15359" width="14.453125" style="2" customWidth="1"/>
    <col min="15360" max="15360" width="38" style="2" customWidth="1"/>
    <col min="15361" max="15361" width="31.453125" style="2" customWidth="1"/>
    <col min="15362" max="15362" width="21.453125" style="2" customWidth="1"/>
    <col min="15363" max="15363" width="19" style="2" customWidth="1"/>
    <col min="15364" max="15364" width="14" style="2" customWidth="1"/>
    <col min="15365" max="15365" width="19.1796875" style="2" customWidth="1"/>
    <col min="15366" max="15366" width="15.81640625" style="2" customWidth="1"/>
    <col min="15367" max="15368" width="11.453125" style="2"/>
    <col min="15369" max="15369" width="12.81640625" style="2" customWidth="1"/>
    <col min="15370" max="15370" width="11.453125" style="2" customWidth="1"/>
    <col min="15371" max="15371" width="14.453125" style="2" customWidth="1"/>
    <col min="15372" max="15614" width="11.453125" style="2"/>
    <col min="15615" max="15615" width="14.453125" style="2" customWidth="1"/>
    <col min="15616" max="15616" width="38" style="2" customWidth="1"/>
    <col min="15617" max="15617" width="31.453125" style="2" customWidth="1"/>
    <col min="15618" max="15618" width="21.453125" style="2" customWidth="1"/>
    <col min="15619" max="15619" width="19" style="2" customWidth="1"/>
    <col min="15620" max="15620" width="14" style="2" customWidth="1"/>
    <col min="15621" max="15621" width="19.1796875" style="2" customWidth="1"/>
    <col min="15622" max="15622" width="15.81640625" style="2" customWidth="1"/>
    <col min="15623" max="15624" width="11.453125" style="2"/>
    <col min="15625" max="15625" width="12.81640625" style="2" customWidth="1"/>
    <col min="15626" max="15626" width="11.453125" style="2" customWidth="1"/>
    <col min="15627" max="15627" width="14.453125" style="2" customWidth="1"/>
    <col min="15628" max="15870" width="11.453125" style="2"/>
    <col min="15871" max="15871" width="14.453125" style="2" customWidth="1"/>
    <col min="15872" max="15872" width="38" style="2" customWidth="1"/>
    <col min="15873" max="15873" width="31.453125" style="2" customWidth="1"/>
    <col min="15874" max="15874" width="21.453125" style="2" customWidth="1"/>
    <col min="15875" max="15875" width="19" style="2" customWidth="1"/>
    <col min="15876" max="15876" width="14" style="2" customWidth="1"/>
    <col min="15877" max="15877" width="19.1796875" style="2" customWidth="1"/>
    <col min="15878" max="15878" width="15.81640625" style="2" customWidth="1"/>
    <col min="15879" max="15880" width="11.453125" style="2"/>
    <col min="15881" max="15881" width="12.81640625" style="2" customWidth="1"/>
    <col min="15882" max="15882" width="11.453125" style="2" customWidth="1"/>
    <col min="15883" max="15883" width="14.453125" style="2" customWidth="1"/>
    <col min="15884" max="16126" width="11.453125" style="2"/>
    <col min="16127" max="16127" width="14.453125" style="2" customWidth="1"/>
    <col min="16128" max="16128" width="38" style="2" customWidth="1"/>
    <col min="16129" max="16129" width="31.453125" style="2" customWidth="1"/>
    <col min="16130" max="16130" width="21.453125" style="2" customWidth="1"/>
    <col min="16131" max="16131" width="19" style="2" customWidth="1"/>
    <col min="16132" max="16132" width="14" style="2" customWidth="1"/>
    <col min="16133" max="16133" width="19.1796875" style="2" customWidth="1"/>
    <col min="16134" max="16134" width="15.81640625" style="2" customWidth="1"/>
    <col min="16135" max="16136" width="11.453125" style="2"/>
    <col min="16137" max="16137" width="12.81640625" style="2" customWidth="1"/>
    <col min="16138" max="16138" width="11.453125" style="2" customWidth="1"/>
    <col min="16139" max="16139" width="14.453125" style="2" customWidth="1"/>
    <col min="16140" max="16384" width="11.453125" style="2"/>
  </cols>
  <sheetData>
    <row r="1" spans="2:20" ht="15" thickBot="1" x14ac:dyDescent="0.4"/>
    <row r="2" spans="2:20" ht="14.5" customHeight="1" x14ac:dyDescent="0.35">
      <c r="B2" s="278" t="s">
        <v>48</v>
      </c>
      <c r="C2" s="249"/>
      <c r="D2" s="249"/>
      <c r="E2" s="249"/>
      <c r="F2" s="249"/>
      <c r="G2" s="249"/>
      <c r="H2" s="249"/>
      <c r="I2" s="249"/>
      <c r="J2" s="249"/>
      <c r="K2" s="249"/>
      <c r="L2" s="249"/>
      <c r="M2" s="249"/>
      <c r="N2" s="249"/>
      <c r="O2" s="249"/>
      <c r="P2" s="249"/>
      <c r="Q2" s="249"/>
      <c r="R2" s="249"/>
      <c r="S2" s="249"/>
      <c r="T2" s="250"/>
    </row>
    <row r="3" spans="2:20" ht="14.5" customHeight="1" x14ac:dyDescent="0.35">
      <c r="B3" s="279"/>
      <c r="C3" s="252"/>
      <c r="D3" s="252"/>
      <c r="E3" s="252"/>
      <c r="F3" s="252"/>
      <c r="G3" s="252"/>
      <c r="H3" s="252"/>
      <c r="I3" s="252"/>
      <c r="J3" s="252"/>
      <c r="K3" s="252"/>
      <c r="L3" s="252"/>
      <c r="M3" s="252"/>
      <c r="N3" s="252"/>
      <c r="O3" s="252"/>
      <c r="P3" s="252"/>
      <c r="Q3" s="252"/>
      <c r="R3" s="252"/>
      <c r="S3" s="252"/>
      <c r="T3" s="253"/>
    </row>
    <row r="4" spans="2:20" ht="14.5" customHeight="1" thickBot="1" x14ac:dyDescent="0.4">
      <c r="B4" s="280"/>
      <c r="C4" s="281"/>
      <c r="D4" s="281"/>
      <c r="E4" s="281"/>
      <c r="F4" s="281"/>
      <c r="G4" s="281"/>
      <c r="H4" s="281"/>
      <c r="I4" s="281"/>
      <c r="J4" s="281"/>
      <c r="K4" s="281"/>
      <c r="L4" s="281"/>
      <c r="M4" s="281"/>
      <c r="N4" s="281"/>
      <c r="O4" s="281"/>
      <c r="P4" s="281"/>
      <c r="Q4" s="281"/>
      <c r="R4" s="281"/>
      <c r="S4" s="281"/>
      <c r="T4" s="282"/>
    </row>
    <row r="5" spans="2:20" ht="16" thickBot="1" x14ac:dyDescent="0.4">
      <c r="B5" s="283" t="s">
        <v>10</v>
      </c>
      <c r="C5" s="284"/>
      <c r="D5" s="284"/>
      <c r="E5" s="284"/>
      <c r="F5" s="284"/>
      <c r="G5" s="284"/>
      <c r="H5" s="284"/>
      <c r="I5" s="284"/>
      <c r="J5" s="284"/>
      <c r="K5" s="284"/>
      <c r="L5" s="284"/>
      <c r="M5" s="284"/>
      <c r="N5" s="284"/>
      <c r="O5" s="284"/>
      <c r="P5" s="284"/>
      <c r="Q5" s="284"/>
      <c r="R5" s="284"/>
      <c r="S5" s="284"/>
      <c r="T5" s="285"/>
    </row>
    <row r="6" spans="2:20" ht="16" thickBot="1" x14ac:dyDescent="0.4">
      <c r="B6" s="257" t="s">
        <v>16</v>
      </c>
      <c r="C6" s="258"/>
      <c r="D6" s="15"/>
      <c r="E6" s="286"/>
      <c r="F6" s="287"/>
      <c r="G6" s="287"/>
      <c r="H6" s="287"/>
      <c r="I6" s="287"/>
      <c r="J6" s="287"/>
      <c r="K6" s="287"/>
      <c r="L6" s="287"/>
      <c r="M6" s="287"/>
      <c r="N6" s="287"/>
      <c r="O6" s="287"/>
      <c r="P6" s="287"/>
      <c r="Q6" s="287"/>
      <c r="R6" s="287"/>
      <c r="S6" s="287"/>
      <c r="T6" s="288"/>
    </row>
    <row r="7" spans="2:20" ht="15" hidden="1" customHeight="1" thickBot="1" x14ac:dyDescent="0.4">
      <c r="B7" s="14"/>
      <c r="C7" s="14"/>
      <c r="D7" s="14"/>
      <c r="E7" s="14"/>
      <c r="F7" s="14"/>
      <c r="G7" s="14"/>
      <c r="H7" s="14"/>
      <c r="I7" s="14"/>
      <c r="J7" s="14"/>
      <c r="K7" s="14"/>
      <c r="L7" s="14"/>
      <c r="M7" s="14"/>
      <c r="N7" s="14"/>
      <c r="O7" s="14"/>
      <c r="P7" s="14"/>
      <c r="Q7" s="14"/>
      <c r="R7" s="14"/>
      <c r="S7" s="14"/>
      <c r="T7" s="28"/>
    </row>
    <row r="8" spans="2:20" ht="15" customHeight="1" thickBot="1" x14ac:dyDescent="0.4">
      <c r="B8" s="237" t="s">
        <v>45</v>
      </c>
      <c r="C8" s="237" t="s">
        <v>18</v>
      </c>
      <c r="D8" s="237" t="s">
        <v>42</v>
      </c>
      <c r="E8" s="293" t="s">
        <v>19</v>
      </c>
      <c r="F8" s="237" t="s">
        <v>21</v>
      </c>
      <c r="G8" s="237" t="s">
        <v>22</v>
      </c>
      <c r="H8" s="290" t="s">
        <v>23</v>
      </c>
      <c r="I8" s="291"/>
      <c r="J8" s="291"/>
      <c r="K8" s="291"/>
      <c r="L8" s="291"/>
      <c r="M8" s="291"/>
      <c r="N8" s="291"/>
      <c r="O8" s="291"/>
      <c r="P8" s="291"/>
      <c r="Q8" s="291"/>
      <c r="R8" s="291"/>
      <c r="S8" s="291"/>
      <c r="T8" s="292"/>
    </row>
    <row r="9" spans="2:20" ht="43.75" customHeight="1" thickBot="1" x14ac:dyDescent="0.4">
      <c r="B9" s="289"/>
      <c r="C9" s="289"/>
      <c r="D9" s="289"/>
      <c r="E9" s="294"/>
      <c r="F9" s="289"/>
      <c r="G9" s="289"/>
      <c r="H9" s="4" t="s">
        <v>24</v>
      </c>
      <c r="I9" s="5" t="s">
        <v>25</v>
      </c>
      <c r="J9" s="6" t="s">
        <v>26</v>
      </c>
      <c r="K9" s="6" t="s">
        <v>27</v>
      </c>
      <c r="L9" s="6" t="s">
        <v>28</v>
      </c>
      <c r="M9" s="6" t="s">
        <v>29</v>
      </c>
      <c r="N9" s="6" t="s">
        <v>30</v>
      </c>
      <c r="O9" s="6" t="s">
        <v>31</v>
      </c>
      <c r="P9" s="6" t="s">
        <v>32</v>
      </c>
      <c r="Q9" s="6" t="s">
        <v>33</v>
      </c>
      <c r="R9" s="6" t="s">
        <v>34</v>
      </c>
      <c r="S9" s="6" t="s">
        <v>35</v>
      </c>
      <c r="T9" s="7" t="s">
        <v>36</v>
      </c>
    </row>
    <row r="10" spans="2:20" ht="15" customHeight="1" x14ac:dyDescent="0.35">
      <c r="B10" s="270" t="s">
        <v>37</v>
      </c>
      <c r="C10" s="270"/>
      <c r="D10" s="275" t="s">
        <v>43</v>
      </c>
      <c r="E10" s="276"/>
      <c r="F10" s="268"/>
      <c r="G10" s="264"/>
      <c r="H10" s="43" t="s">
        <v>44</v>
      </c>
      <c r="I10" s="40"/>
      <c r="J10" s="30"/>
      <c r="K10" s="30"/>
      <c r="L10" s="30"/>
      <c r="M10" s="30"/>
      <c r="N10" s="30"/>
      <c r="O10" s="30"/>
      <c r="P10" s="30"/>
      <c r="Q10" s="30"/>
      <c r="R10" s="30"/>
      <c r="S10" s="30"/>
      <c r="T10" s="31"/>
    </row>
    <row r="11" spans="2:20" x14ac:dyDescent="0.35">
      <c r="B11" s="271"/>
      <c r="C11" s="271"/>
      <c r="D11" s="274"/>
      <c r="E11" s="277"/>
      <c r="F11" s="269"/>
      <c r="G11" s="265"/>
      <c r="H11" s="44" t="s">
        <v>44</v>
      </c>
      <c r="I11" s="41"/>
      <c r="J11" s="8"/>
      <c r="K11" s="8"/>
      <c r="L11" s="8"/>
      <c r="M11" s="8"/>
      <c r="N11" s="8"/>
      <c r="O11" s="8"/>
      <c r="P11" s="8"/>
      <c r="Q11" s="8"/>
      <c r="R11" s="8"/>
      <c r="S11" s="8"/>
      <c r="T11" s="9"/>
    </row>
    <row r="12" spans="2:20" x14ac:dyDescent="0.35">
      <c r="B12" s="271"/>
      <c r="C12" s="273"/>
      <c r="D12" s="274"/>
      <c r="E12" s="272"/>
      <c r="F12" s="267"/>
      <c r="G12" s="266"/>
      <c r="H12" s="44" t="s">
        <v>44</v>
      </c>
      <c r="I12" s="41"/>
      <c r="J12" s="8"/>
      <c r="K12" s="8"/>
      <c r="L12" s="8"/>
      <c r="M12" s="8"/>
      <c r="N12" s="8"/>
      <c r="O12" s="8"/>
      <c r="P12" s="8"/>
      <c r="Q12" s="8"/>
      <c r="R12" s="8"/>
      <c r="S12" s="8"/>
      <c r="T12" s="9"/>
    </row>
    <row r="13" spans="2:20" x14ac:dyDescent="0.35">
      <c r="B13" s="271"/>
      <c r="C13" s="273"/>
      <c r="D13" s="274"/>
      <c r="E13" s="272"/>
      <c r="F13" s="267"/>
      <c r="G13" s="266"/>
      <c r="H13" s="44" t="s">
        <v>44</v>
      </c>
      <c r="I13" s="41"/>
      <c r="J13" s="8"/>
      <c r="K13" s="8"/>
      <c r="L13" s="8"/>
      <c r="M13" s="8"/>
      <c r="N13" s="8"/>
      <c r="O13" s="8"/>
      <c r="P13" s="8"/>
      <c r="Q13" s="8"/>
      <c r="R13" s="8"/>
      <c r="S13" s="8"/>
      <c r="T13" s="9"/>
    </row>
    <row r="14" spans="2:20" ht="15" thickBot="1" x14ac:dyDescent="0.4">
      <c r="B14" s="16"/>
      <c r="C14" s="17"/>
      <c r="D14" s="35"/>
      <c r="E14" s="34"/>
      <c r="F14" s="18"/>
      <c r="G14" s="39"/>
      <c r="H14" s="45" t="s">
        <v>44</v>
      </c>
      <c r="I14" s="42"/>
      <c r="J14" s="32"/>
      <c r="K14" s="32"/>
      <c r="L14" s="32"/>
      <c r="M14" s="32"/>
      <c r="N14" s="32"/>
      <c r="O14" s="32"/>
      <c r="P14" s="32"/>
      <c r="Q14" s="32"/>
      <c r="R14" s="32"/>
      <c r="S14" s="32"/>
      <c r="T14" s="33"/>
    </row>
    <row r="15" spans="2:20" ht="15" thickBot="1" x14ac:dyDescent="0.4">
      <c r="B15" s="261" t="s">
        <v>39</v>
      </c>
      <c r="C15" s="262"/>
      <c r="D15" s="263"/>
      <c r="E15" s="29">
        <f>SUM(E10:E14)</f>
        <v>0</v>
      </c>
      <c r="F15" s="47"/>
      <c r="G15" s="48"/>
      <c r="H15" s="49"/>
      <c r="I15" s="49"/>
      <c r="J15" s="49"/>
      <c r="K15" s="48"/>
      <c r="L15" s="49"/>
      <c r="M15" s="49"/>
      <c r="N15" s="49"/>
      <c r="O15" s="49"/>
      <c r="P15" s="49"/>
      <c r="Q15" s="49"/>
      <c r="R15" s="49"/>
      <c r="S15" s="49"/>
      <c r="T15" s="50"/>
    </row>
    <row r="16" spans="2:20" ht="15" thickBot="1" x14ac:dyDescent="0.4">
      <c r="B16" s="219" t="s">
        <v>40</v>
      </c>
      <c r="C16" s="220"/>
      <c r="D16" s="221"/>
      <c r="E16" s="10"/>
      <c r="F16" s="51"/>
      <c r="T16" s="52"/>
    </row>
    <row r="17" spans="2:20" ht="15" thickBot="1" x14ac:dyDescent="0.4">
      <c r="B17" s="219" t="s">
        <v>41</v>
      </c>
      <c r="C17" s="220"/>
      <c r="D17" s="221"/>
      <c r="E17" s="11">
        <f>+E16-E15</f>
        <v>0</v>
      </c>
      <c r="F17" s="53"/>
      <c r="G17" s="54"/>
      <c r="H17" s="55"/>
      <c r="I17" s="55"/>
      <c r="J17" s="55"/>
      <c r="K17" s="54"/>
      <c r="L17" s="55"/>
      <c r="M17" s="55"/>
      <c r="N17" s="55"/>
      <c r="O17" s="55"/>
      <c r="P17" s="55"/>
      <c r="Q17" s="55"/>
      <c r="R17" s="55"/>
      <c r="S17" s="55"/>
      <c r="T17" s="56"/>
    </row>
    <row r="18" spans="2:20" x14ac:dyDescent="0.35">
      <c r="B18" s="225" t="s">
        <v>46</v>
      </c>
      <c r="C18" s="226"/>
      <c r="D18" s="226"/>
      <c r="E18" s="226"/>
      <c r="F18" s="226"/>
      <c r="G18" s="226"/>
      <c r="H18" s="226"/>
      <c r="I18" s="226"/>
      <c r="J18" s="226"/>
      <c r="K18" s="226"/>
      <c r="L18" s="226"/>
      <c r="M18" s="226"/>
      <c r="N18" s="226"/>
      <c r="O18" s="226"/>
      <c r="P18" s="226"/>
      <c r="Q18" s="226"/>
      <c r="R18" s="226"/>
      <c r="S18" s="226"/>
      <c r="T18" s="227"/>
    </row>
    <row r="19" spans="2:20" x14ac:dyDescent="0.35">
      <c r="B19" s="228"/>
      <c r="C19" s="229"/>
      <c r="D19" s="229"/>
      <c r="E19" s="229"/>
      <c r="F19" s="229"/>
      <c r="G19" s="229"/>
      <c r="H19" s="229"/>
      <c r="I19" s="229"/>
      <c r="J19" s="229"/>
      <c r="K19" s="229"/>
      <c r="L19" s="229"/>
      <c r="M19" s="229"/>
      <c r="N19" s="229"/>
      <c r="O19" s="229"/>
      <c r="P19" s="229"/>
      <c r="Q19" s="229"/>
      <c r="R19" s="229"/>
      <c r="S19" s="229"/>
      <c r="T19" s="230"/>
    </row>
    <row r="20" spans="2:20" ht="15" thickBot="1" x14ac:dyDescent="0.4">
      <c r="B20" s="231"/>
      <c r="C20" s="232"/>
      <c r="D20" s="232"/>
      <c r="E20" s="232"/>
      <c r="F20" s="232"/>
      <c r="G20" s="232"/>
      <c r="H20" s="232"/>
      <c r="I20" s="232"/>
      <c r="J20" s="232"/>
      <c r="K20" s="232"/>
      <c r="L20" s="232"/>
      <c r="M20" s="232"/>
      <c r="N20" s="232"/>
      <c r="O20" s="232"/>
      <c r="P20" s="232"/>
      <c r="Q20" s="232"/>
      <c r="R20" s="232"/>
      <c r="S20" s="232"/>
      <c r="T20" s="233"/>
    </row>
    <row r="21" spans="2:20" x14ac:dyDescent="0.35">
      <c r="B21" s="13"/>
      <c r="C21" s="13"/>
      <c r="D21" s="13"/>
      <c r="E21" s="13"/>
    </row>
    <row r="22" spans="2:20" x14ac:dyDescent="0.35">
      <c r="B22" s="57" t="s">
        <v>47</v>
      </c>
    </row>
    <row r="23" spans="2:20" x14ac:dyDescent="0.35">
      <c r="K23" s="46"/>
      <c r="M23" s="3"/>
      <c r="N23" s="3"/>
    </row>
    <row r="24" spans="2:20" x14ac:dyDescent="0.35">
      <c r="K24" s="2"/>
      <c r="N24" s="3"/>
    </row>
  </sheetData>
  <mergeCells count="27">
    <mergeCell ref="B2:T4"/>
    <mergeCell ref="B5:T5"/>
    <mergeCell ref="B6:C6"/>
    <mergeCell ref="E6:T6"/>
    <mergeCell ref="G8:G9"/>
    <mergeCell ref="H8:T8"/>
    <mergeCell ref="F8:F9"/>
    <mergeCell ref="B8:B9"/>
    <mergeCell ref="C8:C9"/>
    <mergeCell ref="E8:E9"/>
    <mergeCell ref="D8:D9"/>
    <mergeCell ref="B18:T20"/>
    <mergeCell ref="B15:D15"/>
    <mergeCell ref="B16:D16"/>
    <mergeCell ref="B17:D17"/>
    <mergeCell ref="G10:G11"/>
    <mergeCell ref="G12:G13"/>
    <mergeCell ref="F12:F13"/>
    <mergeCell ref="F10:F11"/>
    <mergeCell ref="B10:B11"/>
    <mergeCell ref="C10:C11"/>
    <mergeCell ref="B12:B13"/>
    <mergeCell ref="E12:E13"/>
    <mergeCell ref="C12:C13"/>
    <mergeCell ref="D12:D13"/>
    <mergeCell ref="D10:D11"/>
    <mergeCell ref="E10:E11"/>
  </mergeCells>
  <dataValidations count="2">
    <dataValidation type="list" allowBlank="1" showInputMessage="1" showErrorMessage="1" sqref="D10:D13" xr:uid="{00000000-0002-0000-0500-000000000000}">
      <formula1>"Aseguramiento,Consultoria"</formula1>
    </dataValidation>
    <dataValidation type="list" allowBlank="1" showInputMessage="1" showErrorMessage="1" sqref="H10:H14" xr:uid="{00000000-0002-0000-0500-000001000000}">
      <formula1>"Sin Iniciar,Finalizada,En Proceso,"</formula1>
    </dataValidation>
  </dataValidations>
  <pageMargins left="0.7" right="0.7" top="0.75" bottom="0.75" header="0.3" footer="0.3"/>
  <pageSetup orientation="portrait"/>
  <extLst>
    <ext xmlns:mx="http://schemas.microsoft.com/office/mac/excel/2008/main" uri="{64002731-A6B0-56B0-2670-7721B7C09600}">
      <mx:PLV Mode="0" OnePage="0" WScale="0"/>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3:E12"/>
  <sheetViews>
    <sheetView topLeftCell="C1" workbookViewId="0">
      <selection activeCell="D3" sqref="D3"/>
    </sheetView>
  </sheetViews>
  <sheetFormatPr baseColWidth="10" defaultRowHeight="14.5" x14ac:dyDescent="0.35"/>
  <cols>
    <col min="3" max="3" width="13.453125" customWidth="1"/>
    <col min="4" max="4" width="21" bestFit="1" customWidth="1"/>
  </cols>
  <sheetData>
    <row r="3" spans="2:5" x14ac:dyDescent="0.35">
      <c r="B3" t="s">
        <v>11</v>
      </c>
      <c r="C3" t="s">
        <v>13</v>
      </c>
      <c r="D3" t="str">
        <f>+CONCATENATE(B3,C3)</f>
        <v>ExtremoAdecuado</v>
      </c>
      <c r="E3" t="s">
        <v>5</v>
      </c>
    </row>
    <row r="4" spans="2:5" x14ac:dyDescent="0.35">
      <c r="B4" t="s">
        <v>0</v>
      </c>
      <c r="C4" t="s">
        <v>13</v>
      </c>
      <c r="D4" t="str">
        <f t="shared" ref="D4:D12" si="0">+CONCATENATE(B4,C4)</f>
        <v>AltoAdecuado</v>
      </c>
      <c r="E4" t="s">
        <v>7</v>
      </c>
    </row>
    <row r="5" spans="2:5" x14ac:dyDescent="0.35">
      <c r="B5" t="s">
        <v>1</v>
      </c>
      <c r="C5" t="s">
        <v>13</v>
      </c>
      <c r="D5" t="str">
        <f t="shared" si="0"/>
        <v>ModeradoAdecuado</v>
      </c>
      <c r="E5" t="s">
        <v>8</v>
      </c>
    </row>
    <row r="6" spans="2:5" x14ac:dyDescent="0.35">
      <c r="B6" t="s">
        <v>12</v>
      </c>
      <c r="C6" t="s">
        <v>13</v>
      </c>
      <c r="D6" t="str">
        <f t="shared" si="0"/>
        <v>BajoAdecuado</v>
      </c>
      <c r="E6" t="s">
        <v>6</v>
      </c>
    </row>
    <row r="7" spans="2:5" x14ac:dyDescent="0.35">
      <c r="B7" t="s">
        <v>2</v>
      </c>
      <c r="C7" t="s">
        <v>13</v>
      </c>
      <c r="D7" t="str">
        <f t="shared" si="0"/>
        <v>Muy BajoAdecuado</v>
      </c>
      <c r="E7" t="s">
        <v>9</v>
      </c>
    </row>
    <row r="8" spans="2:5" x14ac:dyDescent="0.35">
      <c r="B8" t="s">
        <v>11</v>
      </c>
      <c r="C8" t="s">
        <v>14</v>
      </c>
      <c r="D8" t="str">
        <f t="shared" si="0"/>
        <v>ExtremoInadecuado</v>
      </c>
      <c r="E8" t="s">
        <v>5</v>
      </c>
    </row>
    <row r="9" spans="2:5" x14ac:dyDescent="0.35">
      <c r="B9" t="s">
        <v>0</v>
      </c>
      <c r="C9" t="s">
        <v>14</v>
      </c>
      <c r="D9" t="str">
        <f t="shared" si="0"/>
        <v>AltoInadecuado</v>
      </c>
      <c r="E9" t="s">
        <v>5</v>
      </c>
    </row>
    <row r="10" spans="2:5" x14ac:dyDescent="0.35">
      <c r="B10" t="s">
        <v>1</v>
      </c>
      <c r="C10" t="s">
        <v>14</v>
      </c>
      <c r="D10" t="str">
        <f t="shared" si="0"/>
        <v>ModeradoInadecuado</v>
      </c>
      <c r="E10" t="s">
        <v>7</v>
      </c>
    </row>
    <row r="11" spans="2:5" x14ac:dyDescent="0.35">
      <c r="B11" t="s">
        <v>12</v>
      </c>
      <c r="C11" t="s">
        <v>14</v>
      </c>
      <c r="D11" t="str">
        <f t="shared" si="0"/>
        <v>BajoInadecuado</v>
      </c>
      <c r="E11" t="s">
        <v>8</v>
      </c>
    </row>
    <row r="12" spans="2:5" x14ac:dyDescent="0.35">
      <c r="B12" t="s">
        <v>2</v>
      </c>
      <c r="C12" t="s">
        <v>14</v>
      </c>
      <c r="D12" t="str">
        <f t="shared" si="0"/>
        <v>Muy BajoInadecuado</v>
      </c>
      <c r="E12" t="s">
        <v>6</v>
      </c>
    </row>
  </sheetData>
  <pageMargins left="0.7" right="0.7" top="0.75" bottom="0.75" header="0.3" footer="0.3"/>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12</vt:i4>
      </vt:variant>
    </vt:vector>
  </HeadingPairs>
  <TitlesOfParts>
    <vt:vector size="18" baseType="lpstr">
      <vt:lpstr>Parámetros</vt:lpstr>
      <vt:lpstr>Priorización </vt:lpstr>
      <vt:lpstr>Instructivo</vt:lpstr>
      <vt:lpstr>Procesos A Auditar Vs Recursos</vt:lpstr>
      <vt:lpstr>Seguimiento Programa Anual</vt:lpstr>
      <vt:lpstr>Hoja1</vt:lpstr>
      <vt:lpstr>Ciclo_Rotación_Calif</vt:lpstr>
      <vt:lpstr>Ciclo_Rotación_Def</vt:lpstr>
      <vt:lpstr>Impacto_Obj_Est_Calif</vt:lpstr>
      <vt:lpstr>Impacto_Obj_Est_Def</vt:lpstr>
      <vt:lpstr>Nivel_Criticidad</vt:lpstr>
      <vt:lpstr>Nivel_Directivo_Calif</vt:lpstr>
      <vt:lpstr>Nivel_Directivo_Def</vt:lpstr>
      <vt:lpstr>Nivel_Directivo_Def_PQR</vt:lpstr>
      <vt:lpstr>Result_Aud_Ant_Calif</vt:lpstr>
      <vt:lpstr>Result_Aud_Ant_Def</vt:lpstr>
      <vt:lpstr>Tiempo_Ult_Aud_Calif</vt:lpstr>
      <vt:lpstr>Tiempo_Ult_Aud_Def</vt:lpstr>
    </vt:vector>
  </TitlesOfParts>
  <Company>Banco Popular</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EDWIN ARLEY GIRALDO ZAPATA</dc:creator>
  <cp:lastModifiedBy>Gloria Isabel Taborda</cp:lastModifiedBy>
  <dcterms:created xsi:type="dcterms:W3CDTF">2014-03-13T13:58:02Z</dcterms:created>
  <dcterms:modified xsi:type="dcterms:W3CDTF">2026-03-27T21:04:43Z</dcterms:modified>
</cp:coreProperties>
</file>